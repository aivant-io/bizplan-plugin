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adurex/Documents/bizplan-model-in-a-box/backend/templates/"/>
    </mc:Choice>
  </mc:AlternateContent>
  <xr:revisionPtr revIDLastSave="0" documentId="13_ncr:1_{D3159432-73D7-6C49-9637-350045B57706}" xr6:coauthVersionLast="47" xr6:coauthVersionMax="47" xr10:uidLastSave="{00000000-0000-0000-0000-000000000000}"/>
  <bookViews>
    <workbookView xWindow="4960" yWindow="500" windowWidth="28800" windowHeight="16540" tabRatio="634" activeTab="3" xr2:uid="{00000000-000D-0000-FFFF-FFFF00000000}"/>
  </bookViews>
  <sheets>
    <sheet name="Assumptions" sheetId="5" r:id="rId1"/>
    <sheet name="Model" sheetId="4" r:id="rId2"/>
    <sheet name="Financial Statements" sheetId="9" r:id="rId3"/>
    <sheet name="Dashboard" sheetId="10" r:id="rId4"/>
    <sheet name="Chart Data" sheetId="11" state="hidden" r:id="rId5"/>
  </sheets>
  <definedNames>
    <definedName name="CIQWBGuid" hidden="1">"3a76856e-063b-4329-b2c5-ae285df6792b"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41887.7188541667</definedName>
    <definedName name="IQ_QTD" hidden="1">750000</definedName>
    <definedName name="IQ_TODAY" hidden="1">0</definedName>
    <definedName name="IQ_YTDMONTH" hidden="1">130000</definedName>
    <definedName name="solver_eng" localSheetId="1" hidden="1">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0" i="4" l="1"/>
  <c r="D104" i="4"/>
  <c r="B88" i="9"/>
  <c r="G83" i="9"/>
  <c r="F83" i="9"/>
  <c r="E83" i="9"/>
  <c r="D83" i="9"/>
  <c r="C83" i="9"/>
  <c r="D15" i="4"/>
  <c r="D57" i="4"/>
  <c r="E60" i="4" s="1"/>
  <c r="D105" i="4"/>
  <c r="D28" i="4"/>
  <c r="D48" i="4"/>
  <c r="D90" i="4"/>
  <c r="J96" i="4" s="1"/>
  <c r="D83" i="4"/>
  <c r="D30" i="4"/>
  <c r="D47" i="4"/>
  <c r="D58" i="4"/>
  <c r="D77" i="4"/>
  <c r="D67" i="4"/>
  <c r="D127" i="4"/>
  <c r="E189" i="4" s="1"/>
  <c r="D75" i="4"/>
  <c r="D86" i="4"/>
  <c r="D44" i="4"/>
  <c r="D31" i="4"/>
  <c r="D91" i="4"/>
  <c r="E97" i="4" s="1"/>
  <c r="D27" i="4"/>
  <c r="D9" i="4"/>
  <c r="D103" i="4"/>
  <c r="D14" i="4"/>
  <c r="D26" i="4"/>
  <c r="D119" i="4"/>
  <c r="D10" i="4"/>
  <c r="D114" i="4"/>
  <c r="D64" i="4"/>
  <c r="E70" i="4" s="1"/>
  <c r="F70" i="4" s="1"/>
  <c r="G70" i="4" s="1"/>
  <c r="H70" i="4" s="1"/>
  <c r="D84" i="4"/>
  <c r="E93" i="4" s="1"/>
  <c r="D88" i="4"/>
  <c r="D46" i="4"/>
  <c r="E141" i="4" s="1"/>
  <c r="D113" i="4"/>
  <c r="D65" i="4"/>
  <c r="D122" i="4"/>
  <c r="D45" i="4"/>
  <c r="D87" i="4"/>
  <c r="D89" i="4"/>
  <c r="D110" i="4"/>
  <c r="D130" i="4"/>
  <c r="D51" i="4"/>
  <c r="D66" i="4"/>
  <c r="E71" i="4" s="1"/>
  <c r="F71" i="4" s="1"/>
  <c r="G71" i="4" s="1"/>
  <c r="H71" i="4" s="1"/>
  <c r="I71" i="4" s="1"/>
  <c r="J71" i="4" s="1"/>
  <c r="D13" i="4"/>
  <c r="D16" i="4" s="1"/>
  <c r="D50" i="4"/>
  <c r="D76" i="4"/>
  <c r="E79" i="4" s="1"/>
  <c r="E156" i="4" s="1"/>
  <c r="B27" i="9" s="1"/>
  <c r="D29" i="4"/>
  <c r="D102" i="4"/>
  <c r="D85" i="4"/>
  <c r="D49" i="4"/>
  <c r="D121" i="4"/>
  <c r="D68" i="4"/>
  <c r="B12" i="5"/>
  <c r="E246" i="4"/>
  <c r="E247" i="4" s="1"/>
  <c r="E215" i="4"/>
  <c r="B85" i="9" s="1"/>
  <c r="A232" i="4"/>
  <c r="E227" i="4"/>
  <c r="J169" i="4"/>
  <c r="J216" i="4" s="1"/>
  <c r="I169" i="4"/>
  <c r="I216" i="4" s="1"/>
  <c r="H169" i="4"/>
  <c r="H216" i="4" s="1"/>
  <c r="G169" i="4"/>
  <c r="G216" i="4" s="1"/>
  <c r="F169" i="4"/>
  <c r="F216" i="4" s="1"/>
  <c r="E169" i="4"/>
  <c r="E216" i="4" s="1"/>
  <c r="E95" i="4"/>
  <c r="E53" i="4"/>
  <c r="F2" i="4"/>
  <c r="E107" i="4" l="1"/>
  <c r="D124" i="4"/>
  <c r="E248" i="4" s="1"/>
  <c r="E94" i="4"/>
  <c r="F95" i="4"/>
  <c r="G95" i="4" s="1"/>
  <c r="H95" i="4" s="1"/>
  <c r="I95" i="4" s="1"/>
  <c r="J95" i="4" s="1"/>
  <c r="H96" i="4"/>
  <c r="F189" i="4"/>
  <c r="B59" i="9"/>
  <c r="E96" i="4"/>
  <c r="E98" i="4" s="1"/>
  <c r="E157" i="4" s="1"/>
  <c r="E21" i="4"/>
  <c r="F96" i="4"/>
  <c r="G96" i="4"/>
  <c r="F60" i="4"/>
  <c r="G60" i="4" s="1"/>
  <c r="H60" i="4" s="1"/>
  <c r="I60" i="4" s="1"/>
  <c r="I141" i="4"/>
  <c r="E54" i="4"/>
  <c r="I96" i="4"/>
  <c r="E39" i="4"/>
  <c r="G39" i="4"/>
  <c r="F107" i="4"/>
  <c r="G107" i="4" s="1"/>
  <c r="H107" i="4" s="1"/>
  <c r="I107" i="4" s="1"/>
  <c r="J107" i="4" s="1"/>
  <c r="F39" i="4"/>
  <c r="H39" i="4"/>
  <c r="I39" i="4"/>
  <c r="J39" i="4"/>
  <c r="E22" i="4"/>
  <c r="F22" i="4" s="1"/>
  <c r="G22" i="4" s="1"/>
  <c r="H22" i="4" s="1"/>
  <c r="I22" i="4" s="1"/>
  <c r="J22" i="4" s="1"/>
  <c r="E19" i="4"/>
  <c r="E34" i="4" s="1"/>
  <c r="E20" i="4"/>
  <c r="F20" i="4" s="1"/>
  <c r="E36" i="4"/>
  <c r="J141" i="4"/>
  <c r="G141" i="4"/>
  <c r="H141" i="4"/>
  <c r="F141" i="4"/>
  <c r="F94" i="4"/>
  <c r="G94" i="4"/>
  <c r="H94" i="4"/>
  <c r="J94" i="4"/>
  <c r="I94" i="4"/>
  <c r="F97" i="4"/>
  <c r="E212" i="4"/>
  <c r="B83" i="9" s="1"/>
  <c r="E249" i="4"/>
  <c r="E163" i="4" s="1"/>
  <c r="B35" i="9" s="1"/>
  <c r="E217" i="4"/>
  <c r="F53" i="4"/>
  <c r="F54" i="4" s="1"/>
  <c r="F21" i="4"/>
  <c r="F36" i="4" s="1"/>
  <c r="E72" i="4"/>
  <c r="F72" i="4"/>
  <c r="G72" i="4"/>
  <c r="H72" i="4"/>
  <c r="I70" i="4"/>
  <c r="A233" i="4"/>
  <c r="F93" i="4"/>
  <c r="G2" i="4"/>
  <c r="F79" i="4"/>
  <c r="F156" i="4" s="1"/>
  <c r="C27" i="9" s="1"/>
  <c r="G189" i="4"/>
  <c r="F248" i="4" l="1"/>
  <c r="G248" i="4"/>
  <c r="F215" i="4"/>
  <c r="C59" i="9"/>
  <c r="G215" i="4"/>
  <c r="D59" i="9"/>
  <c r="E158" i="4"/>
  <c r="B29" i="9" s="1"/>
  <c r="B28" i="9"/>
  <c r="E35" i="4"/>
  <c r="E37" i="4" s="1"/>
  <c r="E41" i="4" s="1"/>
  <c r="B19" i="10" s="1"/>
  <c r="E147" i="4"/>
  <c r="B18" i="9" s="1"/>
  <c r="F19" i="4"/>
  <c r="F34" i="4" s="1"/>
  <c r="E255" i="4"/>
  <c r="B11" i="11" s="1"/>
  <c r="F98" i="4"/>
  <c r="F157" i="4" s="1"/>
  <c r="G97" i="4"/>
  <c r="G53" i="4"/>
  <c r="E250" i="4"/>
  <c r="E251" i="4" s="1"/>
  <c r="F245" i="4" s="1"/>
  <c r="F247" i="4" s="1"/>
  <c r="F249" i="4" s="1"/>
  <c r="G21" i="4"/>
  <c r="G36" i="4" s="1"/>
  <c r="G93" i="4"/>
  <c r="A234" i="4"/>
  <c r="H2" i="4"/>
  <c r="H248" i="4" s="1"/>
  <c r="G79" i="4"/>
  <c r="G156" i="4" s="1"/>
  <c r="D27" i="9" s="1"/>
  <c r="F35" i="4"/>
  <c r="G20" i="4"/>
  <c r="H189" i="4"/>
  <c r="I72" i="4"/>
  <c r="J70" i="4"/>
  <c r="J72" i="4" s="1"/>
  <c r="J60" i="4"/>
  <c r="B14" i="10" l="1"/>
  <c r="C85" i="9"/>
  <c r="F217" i="4"/>
  <c r="F147" i="4"/>
  <c r="C18" i="9" s="1"/>
  <c r="F38" i="4"/>
  <c r="F40" i="4" s="1"/>
  <c r="H215" i="4"/>
  <c r="E59" i="9"/>
  <c r="G19" i="4"/>
  <c r="G147" i="4" s="1"/>
  <c r="D18" i="9" s="1"/>
  <c r="F158" i="4"/>
  <c r="C29" i="9" s="1"/>
  <c r="C28" i="9"/>
  <c r="G217" i="4"/>
  <c r="D85" i="9"/>
  <c r="F255" i="4"/>
  <c r="C11" i="11" s="1"/>
  <c r="G98" i="4"/>
  <c r="G157" i="4" s="1"/>
  <c r="H97" i="4"/>
  <c r="E149" i="4"/>
  <c r="B20" i="9" s="1"/>
  <c r="E150" i="4"/>
  <c r="B21" i="9" s="1"/>
  <c r="E134" i="4"/>
  <c r="E186" i="4"/>
  <c r="B55" i="9" s="1"/>
  <c r="E213" i="4"/>
  <c r="E148" i="4"/>
  <c r="B19" i="9" s="1"/>
  <c r="G54" i="4"/>
  <c r="H53" i="4"/>
  <c r="I53" i="4" s="1"/>
  <c r="F250" i="4"/>
  <c r="F213" i="4" s="1"/>
  <c r="F163" i="4"/>
  <c r="C35" i="9" s="1"/>
  <c r="H21" i="4"/>
  <c r="H36" i="4" s="1"/>
  <c r="G35" i="4"/>
  <c r="H20" i="4"/>
  <c r="I2" i="4"/>
  <c r="I248" i="4" s="1"/>
  <c r="H93" i="4"/>
  <c r="A235" i="4"/>
  <c r="H79" i="4"/>
  <c r="H156" i="4" s="1"/>
  <c r="E27" i="9" s="1"/>
  <c r="F37" i="4"/>
  <c r="I189" i="4"/>
  <c r="G34" i="4" l="1"/>
  <c r="G255" i="4" s="1"/>
  <c r="D11" i="11" s="1"/>
  <c r="H19" i="4"/>
  <c r="I19" i="4" s="1"/>
  <c r="B2" i="11"/>
  <c r="B12" i="11"/>
  <c r="C14" i="10"/>
  <c r="D14" i="10"/>
  <c r="B6" i="9"/>
  <c r="B15" i="10"/>
  <c r="F214" i="4"/>
  <c r="F218" i="4" s="1"/>
  <c r="C86" i="9" s="1"/>
  <c r="C84" i="9"/>
  <c r="G158" i="4"/>
  <c r="D29" i="9" s="1"/>
  <c r="D28" i="9"/>
  <c r="H217" i="4"/>
  <c r="E85" i="9"/>
  <c r="E214" i="4"/>
  <c r="E218" i="4" s="1"/>
  <c r="B86" i="9" s="1"/>
  <c r="B84" i="9"/>
  <c r="I215" i="4"/>
  <c r="F59" i="9"/>
  <c r="E142" i="4"/>
  <c r="B13" i="9" s="1"/>
  <c r="H98" i="4"/>
  <c r="H157" i="4" s="1"/>
  <c r="I97" i="4"/>
  <c r="E151" i="4"/>
  <c r="B22" i="9" s="1"/>
  <c r="E116" i="4"/>
  <c r="E208" i="4" s="1"/>
  <c r="B79" i="9" s="1"/>
  <c r="E136" i="4"/>
  <c r="B8" i="9" s="1"/>
  <c r="E137" i="4"/>
  <c r="B9" i="9" s="1"/>
  <c r="E138" i="4"/>
  <c r="B10" i="9" s="1"/>
  <c r="E135" i="4"/>
  <c r="B7" i="9" s="1"/>
  <c r="F41" i="4"/>
  <c r="C19" i="10" s="1"/>
  <c r="G38" i="4"/>
  <c r="G40" i="4" s="1"/>
  <c r="F251" i="4"/>
  <c r="F186" i="4" s="1"/>
  <c r="C55" i="9" s="1"/>
  <c r="H54" i="4"/>
  <c r="I21" i="4"/>
  <c r="J21" i="4" s="1"/>
  <c r="J36" i="4" s="1"/>
  <c r="H147" i="4"/>
  <c r="E18" i="9" s="1"/>
  <c r="H34" i="4"/>
  <c r="I20" i="4"/>
  <c r="H35" i="4"/>
  <c r="A236" i="4"/>
  <c r="I93" i="4"/>
  <c r="I79" i="4"/>
  <c r="I156" i="4" s="1"/>
  <c r="F27" i="9" s="1"/>
  <c r="J2" i="4"/>
  <c r="J248" i="4" s="1"/>
  <c r="J189" i="4"/>
  <c r="J53" i="4"/>
  <c r="I54" i="4"/>
  <c r="I34" i="4"/>
  <c r="J19" i="4"/>
  <c r="I147" i="4"/>
  <c r="F18" i="9" s="1"/>
  <c r="G37" i="4"/>
  <c r="H158" i="4" l="1"/>
  <c r="E29" i="9" s="1"/>
  <c r="E28" i="9"/>
  <c r="J215" i="4"/>
  <c r="G59" i="9"/>
  <c r="I217" i="4"/>
  <c r="F85" i="9"/>
  <c r="E184" i="4"/>
  <c r="B53" i="9" s="1"/>
  <c r="E228" i="4"/>
  <c r="E232" i="4" s="1"/>
  <c r="E239" i="4" s="1"/>
  <c r="E162" i="4" s="1"/>
  <c r="B34" i="9" s="1"/>
  <c r="E209" i="4"/>
  <c r="B80" i="9" s="1"/>
  <c r="E177" i="4"/>
  <c r="B47" i="9" s="1"/>
  <c r="J97" i="4"/>
  <c r="I98" i="4"/>
  <c r="I157" i="4" s="1"/>
  <c r="F149" i="4"/>
  <c r="C20" i="9" s="1"/>
  <c r="F150" i="4"/>
  <c r="C21" i="9" s="1"/>
  <c r="G41" i="4"/>
  <c r="D19" i="10" s="1"/>
  <c r="H38" i="4"/>
  <c r="H40" i="4" s="1"/>
  <c r="E139" i="4"/>
  <c r="H255" i="4"/>
  <c r="E11" i="11" s="1"/>
  <c r="I36" i="4"/>
  <c r="H37" i="4"/>
  <c r="G245" i="4"/>
  <c r="G247" i="4" s="1"/>
  <c r="G249" i="4" s="1"/>
  <c r="G250" i="4" s="1"/>
  <c r="G213" i="4" s="1"/>
  <c r="F148" i="4"/>
  <c r="C19" i="9" s="1"/>
  <c r="F134" i="4"/>
  <c r="I255" i="4"/>
  <c r="F11" i="11" s="1"/>
  <c r="J34" i="4"/>
  <c r="J147" i="4"/>
  <c r="G18" i="9" s="1"/>
  <c r="A237" i="4"/>
  <c r="J232" i="4"/>
  <c r="J79" i="4"/>
  <c r="J156" i="4" s="1"/>
  <c r="G27" i="9" s="1"/>
  <c r="J93" i="4"/>
  <c r="J54" i="4"/>
  <c r="J20" i="4"/>
  <c r="J35" i="4" s="1"/>
  <c r="I35" i="4"/>
  <c r="C2" i="11" l="1"/>
  <c r="C12" i="11"/>
  <c r="E14" i="10"/>
  <c r="F14" i="10"/>
  <c r="F232" i="4"/>
  <c r="G232" i="4" s="1"/>
  <c r="C6" i="9"/>
  <c r="C15" i="10"/>
  <c r="E204" i="4"/>
  <c r="B75" i="9" s="1"/>
  <c r="I158" i="4"/>
  <c r="F29" i="9" s="1"/>
  <c r="F28" i="9"/>
  <c r="G214" i="4"/>
  <c r="G218" i="4" s="1"/>
  <c r="D86" i="9" s="1"/>
  <c r="D84" i="9"/>
  <c r="J217" i="4"/>
  <c r="G85" i="9"/>
  <c r="B6" i="10"/>
  <c r="B11" i="9"/>
  <c r="E229" i="4"/>
  <c r="E241" i="4" s="1"/>
  <c r="E185" i="4"/>
  <c r="B54" i="9" s="1"/>
  <c r="E143" i="4"/>
  <c r="E203" i="4"/>
  <c r="B74" i="9" s="1"/>
  <c r="J98" i="4"/>
  <c r="J157" i="4" s="1"/>
  <c r="G148" i="4"/>
  <c r="D19" i="9" s="1"/>
  <c r="G149" i="4"/>
  <c r="D20" i="9" s="1"/>
  <c r="G150" i="4"/>
  <c r="D21" i="9" s="1"/>
  <c r="G134" i="4"/>
  <c r="H41" i="4"/>
  <c r="E19" i="10" s="1"/>
  <c r="F151" i="4"/>
  <c r="C22" i="9" s="1"/>
  <c r="F135" i="4"/>
  <c r="C7" i="9" s="1"/>
  <c r="F142" i="4"/>
  <c r="C13" i="9" s="1"/>
  <c r="F116" i="4"/>
  <c r="F208" i="4" s="1"/>
  <c r="C79" i="9" s="1"/>
  <c r="I37" i="4"/>
  <c r="J38" i="4" s="1"/>
  <c r="J40" i="4" s="1"/>
  <c r="E176" i="4"/>
  <c r="B46" i="9" s="1"/>
  <c r="I38" i="4"/>
  <c r="I40" i="4" s="1"/>
  <c r="F136" i="4"/>
  <c r="C8" i="9" s="1"/>
  <c r="F137" i="4"/>
  <c r="C9" i="9" s="1"/>
  <c r="F138" i="4"/>
  <c r="C10" i="9" s="1"/>
  <c r="G163" i="4"/>
  <c r="D35" i="9" s="1"/>
  <c r="J255" i="4"/>
  <c r="G11" i="11" s="1"/>
  <c r="J37" i="4"/>
  <c r="G251" i="4"/>
  <c r="A238" i="4"/>
  <c r="E200" i="4"/>
  <c r="B71" i="9" s="1"/>
  <c r="D2" i="11" l="1"/>
  <c r="D12" i="11"/>
  <c r="G14" i="10"/>
  <c r="D15" i="10"/>
  <c r="J158" i="4"/>
  <c r="G29" i="9" s="1"/>
  <c r="G28" i="9"/>
  <c r="B8" i="10"/>
  <c r="B14" i="9"/>
  <c r="G136" i="4"/>
  <c r="D8" i="9" s="1"/>
  <c r="D6" i="9"/>
  <c r="E144" i="4"/>
  <c r="B6" i="11" s="1"/>
  <c r="E152" i="4"/>
  <c r="B23" i="9" s="1"/>
  <c r="F209" i="4"/>
  <c r="C80" i="9" s="1"/>
  <c r="G142" i="4"/>
  <c r="D13" i="9" s="1"/>
  <c r="E202" i="4"/>
  <c r="B73" i="9" s="1"/>
  <c r="G151" i="4"/>
  <c r="D22" i="9" s="1"/>
  <c r="F228" i="4"/>
  <c r="F233" i="4" s="1"/>
  <c r="G233" i="4" s="1"/>
  <c r="H233" i="4" s="1"/>
  <c r="I233" i="4" s="1"/>
  <c r="J233" i="4" s="1"/>
  <c r="E187" i="4"/>
  <c r="B56" i="9" s="1"/>
  <c r="F177" i="4"/>
  <c r="C47" i="9" s="1"/>
  <c r="H134" i="4"/>
  <c r="G137" i="4"/>
  <c r="D9" i="9" s="1"/>
  <c r="G135" i="4"/>
  <c r="D7" i="9" s="1"/>
  <c r="H148" i="4"/>
  <c r="E19" i="9" s="1"/>
  <c r="H149" i="4"/>
  <c r="E20" i="9" s="1"/>
  <c r="H150" i="4"/>
  <c r="E21" i="9" s="1"/>
  <c r="G116" i="4"/>
  <c r="G208" i="4" s="1"/>
  <c r="D79" i="9" s="1"/>
  <c r="G138" i="4"/>
  <c r="D10" i="9" s="1"/>
  <c r="I41" i="4"/>
  <c r="F19" i="10" s="1"/>
  <c r="F184" i="4"/>
  <c r="C53" i="9" s="1"/>
  <c r="H137" i="4"/>
  <c r="E9" i="9" s="1"/>
  <c r="F139" i="4"/>
  <c r="J41" i="4"/>
  <c r="G19" i="10" s="1"/>
  <c r="G186" i="4"/>
  <c r="D55" i="9" s="1"/>
  <c r="H245" i="4"/>
  <c r="H247" i="4" s="1"/>
  <c r="H249" i="4" s="1"/>
  <c r="E179" i="4"/>
  <c r="B49" i="9" s="1"/>
  <c r="F227" i="4"/>
  <c r="H232" i="4"/>
  <c r="E2" i="11" l="1"/>
  <c r="E12" i="11"/>
  <c r="E256" i="4"/>
  <c r="B13" i="11" s="1"/>
  <c r="B16" i="10"/>
  <c r="E15" i="10"/>
  <c r="B15" i="9"/>
  <c r="B9" i="10"/>
  <c r="C11" i="9"/>
  <c r="C6" i="10"/>
  <c r="C7" i="10" s="1"/>
  <c r="H116" i="4"/>
  <c r="H228" i="4" s="1"/>
  <c r="H235" i="4" s="1"/>
  <c r="I235" i="4" s="1"/>
  <c r="J235" i="4" s="1"/>
  <c r="E6" i="9"/>
  <c r="E159" i="4"/>
  <c r="E153" i="4"/>
  <c r="B8" i="11" s="1"/>
  <c r="I134" i="4"/>
  <c r="I135" i="4" s="1"/>
  <c r="F7" i="9" s="1"/>
  <c r="H135" i="4"/>
  <c r="E7" i="9" s="1"/>
  <c r="F229" i="4"/>
  <c r="H136" i="4"/>
  <c r="E8" i="9" s="1"/>
  <c r="F203" i="4"/>
  <c r="C74" i="9" s="1"/>
  <c r="G209" i="4"/>
  <c r="D80" i="9" s="1"/>
  <c r="G177" i="4"/>
  <c r="D47" i="9" s="1"/>
  <c r="H142" i="4"/>
  <c r="E13" i="9" s="1"/>
  <c r="H138" i="4"/>
  <c r="E10" i="9" s="1"/>
  <c r="F204" i="4"/>
  <c r="C75" i="9" s="1"/>
  <c r="G184" i="4"/>
  <c r="F239" i="4"/>
  <c r="F162" i="4" s="1"/>
  <c r="C34" i="9" s="1"/>
  <c r="H151" i="4"/>
  <c r="E22" i="9" s="1"/>
  <c r="G139" i="4"/>
  <c r="G228" i="4"/>
  <c r="G234" i="4" s="1"/>
  <c r="H234" i="4" s="1"/>
  <c r="I234" i="4" s="1"/>
  <c r="J234" i="4" s="1"/>
  <c r="I148" i="4"/>
  <c r="F19" i="9" s="1"/>
  <c r="I150" i="4"/>
  <c r="F21" i="9" s="1"/>
  <c r="I149" i="4"/>
  <c r="F20" i="9" s="1"/>
  <c r="J150" i="4"/>
  <c r="G21" i="9" s="1"/>
  <c r="J149" i="4"/>
  <c r="G20" i="9" s="1"/>
  <c r="F185" i="4"/>
  <c r="C54" i="9" s="1"/>
  <c r="F176" i="4"/>
  <c r="C46" i="9" s="1"/>
  <c r="F143" i="4"/>
  <c r="I137" i="4"/>
  <c r="F9" i="9" s="1"/>
  <c r="I138" i="4"/>
  <c r="F10" i="9" s="1"/>
  <c r="E257" i="4"/>
  <c r="B17" i="10" s="1"/>
  <c r="J148" i="4"/>
  <c r="G19" i="9" s="1"/>
  <c r="J134" i="4"/>
  <c r="H250" i="4"/>
  <c r="H163" i="4"/>
  <c r="E35" i="9" s="1"/>
  <c r="I232" i="4"/>
  <c r="G12" i="11" l="1"/>
  <c r="G2" i="11"/>
  <c r="F12" i="11"/>
  <c r="F2" i="11"/>
  <c r="I142" i="4"/>
  <c r="F13" i="9" s="1"/>
  <c r="B24" i="9"/>
  <c r="G6" i="9"/>
  <c r="G15" i="10"/>
  <c r="H208" i="4"/>
  <c r="E79" i="9" s="1"/>
  <c r="F6" i="9"/>
  <c r="F15" i="10"/>
  <c r="B10" i="10"/>
  <c r="B31" i="9"/>
  <c r="G204" i="4"/>
  <c r="D75" i="9" s="1"/>
  <c r="D53" i="9"/>
  <c r="E164" i="4"/>
  <c r="B36" i="9" s="1"/>
  <c r="C8" i="10"/>
  <c r="C14" i="9"/>
  <c r="E160" i="4"/>
  <c r="B7" i="11" s="1"/>
  <c r="I136" i="4"/>
  <c r="F8" i="9" s="1"/>
  <c r="I116" i="4"/>
  <c r="I228" i="4" s="1"/>
  <c r="I236" i="4" s="1"/>
  <c r="I239" i="4" s="1"/>
  <c r="I162" i="4" s="1"/>
  <c r="F34" i="9" s="1"/>
  <c r="D11" i="9"/>
  <c r="D6" i="10"/>
  <c r="D7" i="10" s="1"/>
  <c r="F202" i="4"/>
  <c r="C73" i="9" s="1"/>
  <c r="H184" i="4"/>
  <c r="E53" i="9" s="1"/>
  <c r="F241" i="4"/>
  <c r="G227" i="4" s="1"/>
  <c r="G229" i="4" s="1"/>
  <c r="F200" i="4"/>
  <c r="C71" i="9" s="1"/>
  <c r="G203" i="4"/>
  <c r="D74" i="9" s="1"/>
  <c r="I177" i="4"/>
  <c r="F47" i="9" s="1"/>
  <c r="H139" i="4"/>
  <c r="H177" i="4"/>
  <c r="E47" i="9" s="1"/>
  <c r="G185" i="4"/>
  <c r="D54" i="9" s="1"/>
  <c r="J142" i="4"/>
  <c r="G13" i="9" s="1"/>
  <c r="F187" i="4"/>
  <c r="C56" i="9" s="1"/>
  <c r="G176" i="4"/>
  <c r="D46" i="9" s="1"/>
  <c r="G143" i="4"/>
  <c r="G239" i="4"/>
  <c r="G162" i="4" s="1"/>
  <c r="D34" i="9" s="1"/>
  <c r="H239" i="4"/>
  <c r="H162" i="4" s="1"/>
  <c r="E34" i="9" s="1"/>
  <c r="J151" i="4"/>
  <c r="G22" i="9" s="1"/>
  <c r="I151" i="4"/>
  <c r="F22" i="9" s="1"/>
  <c r="J116" i="4"/>
  <c r="J208" i="4" s="1"/>
  <c r="G79" i="9" s="1"/>
  <c r="J137" i="4"/>
  <c r="G9" i="9" s="1"/>
  <c r="J138" i="4"/>
  <c r="G10" i="9" s="1"/>
  <c r="J136" i="4"/>
  <c r="G8" i="9" s="1"/>
  <c r="F152" i="4"/>
  <c r="C23" i="9" s="1"/>
  <c r="F144" i="4"/>
  <c r="C6" i="11" s="1"/>
  <c r="J135" i="4"/>
  <c r="G7" i="9" s="1"/>
  <c r="I139" i="4" l="1"/>
  <c r="H209" i="4"/>
  <c r="E80" i="9" s="1"/>
  <c r="I208" i="4"/>
  <c r="F79" i="9" s="1"/>
  <c r="C15" i="9"/>
  <c r="C9" i="10"/>
  <c r="E6" i="10"/>
  <c r="E7" i="10" s="1"/>
  <c r="E11" i="9"/>
  <c r="B32" i="9"/>
  <c r="B11" i="10"/>
  <c r="D14" i="9"/>
  <c r="D8" i="10"/>
  <c r="F6" i="10"/>
  <c r="F11" i="9"/>
  <c r="G202" i="4"/>
  <c r="D73" i="9" s="1"/>
  <c r="E166" i="4"/>
  <c r="B38" i="9" s="1"/>
  <c r="G187" i="4"/>
  <c r="D56" i="9" s="1"/>
  <c r="H185" i="4"/>
  <c r="E54" i="9" s="1"/>
  <c r="H204" i="4"/>
  <c r="E75" i="9" s="1"/>
  <c r="J184" i="4"/>
  <c r="G53" i="9" s="1"/>
  <c r="H203" i="4"/>
  <c r="E74" i="9" s="1"/>
  <c r="H200" i="4"/>
  <c r="E71" i="9" s="1"/>
  <c r="H143" i="4"/>
  <c r="G200" i="4"/>
  <c r="D71" i="9" s="1"/>
  <c r="F179" i="4"/>
  <c r="C49" i="9" s="1"/>
  <c r="J209" i="4"/>
  <c r="G80" i="9" s="1"/>
  <c r="H176" i="4"/>
  <c r="E46" i="9" s="1"/>
  <c r="I203" i="4"/>
  <c r="F74" i="9" s="1"/>
  <c r="I200" i="4"/>
  <c r="F71" i="9" s="1"/>
  <c r="I184" i="4"/>
  <c r="F53" i="9" s="1"/>
  <c r="G152" i="4"/>
  <c r="D23" i="9" s="1"/>
  <c r="J177" i="4"/>
  <c r="G47" i="9" s="1"/>
  <c r="G144" i="4"/>
  <c r="D6" i="11" s="1"/>
  <c r="G241" i="4"/>
  <c r="H227" i="4" s="1"/>
  <c r="H229" i="4" s="1"/>
  <c r="H241" i="4" s="1"/>
  <c r="J228" i="4"/>
  <c r="J236" i="4" s="1"/>
  <c r="F256" i="4"/>
  <c r="C13" i="11" s="1"/>
  <c r="F153" i="4"/>
  <c r="C8" i="11" s="1"/>
  <c r="F159" i="4"/>
  <c r="J139" i="4"/>
  <c r="I143" i="4"/>
  <c r="I176" i="4"/>
  <c r="F46" i="9" s="1"/>
  <c r="H251" i="4"/>
  <c r="H186" i="4" s="1"/>
  <c r="E55" i="9" s="1"/>
  <c r="H213" i="4"/>
  <c r="G179" i="4" l="1"/>
  <c r="D49" i="9" s="1"/>
  <c r="C24" i="9"/>
  <c r="I209" i="4"/>
  <c r="F80" i="9" s="1"/>
  <c r="C16" i="10"/>
  <c r="F7" i="10"/>
  <c r="G6" i="10"/>
  <c r="G7" i="10" s="1"/>
  <c r="G11" i="9"/>
  <c r="C31" i="9"/>
  <c r="C10" i="10"/>
  <c r="E8" i="10"/>
  <c r="E14" i="9"/>
  <c r="E167" i="4"/>
  <c r="B3" i="11" s="1"/>
  <c r="H214" i="4"/>
  <c r="H218" i="4" s="1"/>
  <c r="E86" i="9" s="1"/>
  <c r="E84" i="9"/>
  <c r="D15" i="9"/>
  <c r="D9" i="10"/>
  <c r="F8" i="10"/>
  <c r="F14" i="9"/>
  <c r="G159" i="4"/>
  <c r="G164" i="4"/>
  <c r="D36" i="9" s="1"/>
  <c r="I202" i="4"/>
  <c r="F73" i="9" s="1"/>
  <c r="H202" i="4"/>
  <c r="E73" i="9" s="1"/>
  <c r="H144" i="4"/>
  <c r="E6" i="11" s="1"/>
  <c r="H152" i="4"/>
  <c r="E23" i="9" s="1"/>
  <c r="I185" i="4"/>
  <c r="F54" i="9" s="1"/>
  <c r="J203" i="4"/>
  <c r="G74" i="9" s="1"/>
  <c r="J143" i="4"/>
  <c r="I204" i="4"/>
  <c r="F75" i="9" s="1"/>
  <c r="G256" i="4"/>
  <c r="D13" i="11" s="1"/>
  <c r="G153" i="4"/>
  <c r="D8" i="11" s="1"/>
  <c r="J204" i="4"/>
  <c r="G75" i="9" s="1"/>
  <c r="J185" i="4"/>
  <c r="G54" i="9" s="1"/>
  <c r="J237" i="4"/>
  <c r="J239" i="4" s="1"/>
  <c r="J162" i="4" s="1"/>
  <c r="G34" i="9" s="1"/>
  <c r="J176" i="4"/>
  <c r="G46" i="9" s="1"/>
  <c r="F160" i="4"/>
  <c r="C7" i="11" s="1"/>
  <c r="F164" i="4"/>
  <c r="C36" i="9" s="1"/>
  <c r="I245" i="4"/>
  <c r="I247" i="4" s="1"/>
  <c r="I249" i="4" s="1"/>
  <c r="I250" i="4" s="1"/>
  <c r="I144" i="4"/>
  <c r="F6" i="11" s="1"/>
  <c r="I152" i="4"/>
  <c r="F23" i="9" s="1"/>
  <c r="F257" i="4"/>
  <c r="C17" i="10" s="1"/>
  <c r="H187" i="4"/>
  <c r="E56" i="9" s="1"/>
  <c r="H179" i="4"/>
  <c r="E49" i="9" s="1"/>
  <c r="I227" i="4"/>
  <c r="I229" i="4" s="1"/>
  <c r="I241" i="4" s="1"/>
  <c r="D16" i="10" l="1"/>
  <c r="E190" i="4"/>
  <c r="B60" i="9" s="1"/>
  <c r="D24" i="9"/>
  <c r="G166" i="4"/>
  <c r="D38" i="9" s="1"/>
  <c r="B39" i="9"/>
  <c r="B12" i="10"/>
  <c r="F9" i="10"/>
  <c r="F15" i="9"/>
  <c r="G14" i="9"/>
  <c r="G8" i="10"/>
  <c r="G160" i="4"/>
  <c r="D7" i="11" s="1"/>
  <c r="D31" i="9"/>
  <c r="D10" i="10"/>
  <c r="C11" i="10"/>
  <c r="C32" i="9"/>
  <c r="J202" i="4"/>
  <c r="G73" i="9" s="1"/>
  <c r="E199" i="4"/>
  <c r="B70" i="9" s="1"/>
  <c r="E9" i="10"/>
  <c r="E15" i="9"/>
  <c r="J144" i="4"/>
  <c r="G6" i="11" s="1"/>
  <c r="J152" i="4"/>
  <c r="G23" i="9" s="1"/>
  <c r="G257" i="4"/>
  <c r="D17" i="10" s="1"/>
  <c r="E191" i="4"/>
  <c r="B61" i="9" s="1"/>
  <c r="H256" i="4"/>
  <c r="E13" i="11" s="1"/>
  <c r="H153" i="4"/>
  <c r="E8" i="11" s="1"/>
  <c r="H159" i="4"/>
  <c r="F166" i="4"/>
  <c r="C38" i="9" s="1"/>
  <c r="I256" i="4"/>
  <c r="F13" i="11" s="1"/>
  <c r="I153" i="4"/>
  <c r="F8" i="11" s="1"/>
  <c r="I159" i="4"/>
  <c r="I163" i="4"/>
  <c r="F35" i="9" s="1"/>
  <c r="I251" i="4"/>
  <c r="I213" i="4"/>
  <c r="J200" i="4"/>
  <c r="G71" i="9" s="1"/>
  <c r="J227" i="4"/>
  <c r="J229" i="4" s="1"/>
  <c r="J241" i="4" s="1"/>
  <c r="I179" i="4"/>
  <c r="F49" i="9" s="1"/>
  <c r="J153" i="4" l="1"/>
  <c r="G8" i="11" s="1"/>
  <c r="J159" i="4"/>
  <c r="G24" i="9"/>
  <c r="E24" i="9"/>
  <c r="E16" i="10"/>
  <c r="F24" i="9"/>
  <c r="F16" i="10"/>
  <c r="G167" i="4"/>
  <c r="D3" i="11" s="1"/>
  <c r="E31" i="9"/>
  <c r="E10" i="10"/>
  <c r="G9" i="10"/>
  <c r="G15" i="9"/>
  <c r="D11" i="10"/>
  <c r="D32" i="9"/>
  <c r="I214" i="4"/>
  <c r="I218" i="4" s="1"/>
  <c r="F86" i="9" s="1"/>
  <c r="F84" i="9"/>
  <c r="G10" i="10"/>
  <c r="G31" i="9"/>
  <c r="F10" i="10"/>
  <c r="F31" i="9"/>
  <c r="E205" i="4"/>
  <c r="B76" i="9" s="1"/>
  <c r="H257" i="4"/>
  <c r="E17" i="10" s="1"/>
  <c r="F167" i="4"/>
  <c r="C3" i="11" s="1"/>
  <c r="J256" i="4"/>
  <c r="G13" i="11" s="1"/>
  <c r="I160" i="4"/>
  <c r="F7" i="11" s="1"/>
  <c r="H164" i="4"/>
  <c r="E36" i="9" s="1"/>
  <c r="H160" i="4"/>
  <c r="E7" i="11" s="1"/>
  <c r="J160" i="4"/>
  <c r="G7" i="11" s="1"/>
  <c r="E192" i="4"/>
  <c r="B63" i="9" s="1"/>
  <c r="I164" i="4"/>
  <c r="F36" i="9" s="1"/>
  <c r="I257" i="4"/>
  <c r="F17" i="10" s="1"/>
  <c r="I186" i="4"/>
  <c r="J245" i="4"/>
  <c r="J247" i="4" s="1"/>
  <c r="J249" i="4" s="1"/>
  <c r="J179" i="4"/>
  <c r="G49" i="9" s="1"/>
  <c r="G199" i="4" l="1"/>
  <c r="D70" i="9" s="1"/>
  <c r="D12" i="10"/>
  <c r="D39" i="9"/>
  <c r="G16" i="10"/>
  <c r="C12" i="10"/>
  <c r="C39" i="9"/>
  <c r="E258" i="4"/>
  <c r="B16" i="11" s="1"/>
  <c r="I187" i="4"/>
  <c r="F56" i="9" s="1"/>
  <c r="F55" i="9"/>
  <c r="F32" i="9"/>
  <c r="F11" i="10"/>
  <c r="G11" i="10"/>
  <c r="G32" i="9"/>
  <c r="E221" i="4"/>
  <c r="B89" i="9" s="1"/>
  <c r="E32" i="9"/>
  <c r="E11" i="10"/>
  <c r="I166" i="4"/>
  <c r="F38" i="9" s="1"/>
  <c r="F199" i="4"/>
  <c r="C70" i="9" s="1"/>
  <c r="F190" i="4"/>
  <c r="C60" i="9" s="1"/>
  <c r="H166" i="4"/>
  <c r="E38" i="9" s="1"/>
  <c r="E222" i="4"/>
  <c r="B17" i="11" s="1"/>
  <c r="J257" i="4"/>
  <c r="G17" i="10" s="1"/>
  <c r="J250" i="4"/>
  <c r="J213" i="4" s="1"/>
  <c r="J163" i="4"/>
  <c r="G35" i="9" s="1"/>
  <c r="G205" i="4" l="1"/>
  <c r="D76" i="9" s="1"/>
  <c r="B90" i="9"/>
  <c r="J214" i="4"/>
  <c r="J218" i="4" s="1"/>
  <c r="G86" i="9" s="1"/>
  <c r="G84" i="9"/>
  <c r="H167" i="4"/>
  <c r="E3" i="11" s="1"/>
  <c r="G190" i="4"/>
  <c r="D60" i="9" s="1"/>
  <c r="F191" i="4"/>
  <c r="C61" i="9" s="1"/>
  <c r="G221" i="4"/>
  <c r="D89" i="9" s="1"/>
  <c r="G258" i="4"/>
  <c r="D16" i="11" s="1"/>
  <c r="F205" i="4"/>
  <c r="C76" i="9" s="1"/>
  <c r="E175" i="4"/>
  <c r="B45" i="9" s="1"/>
  <c r="F220" i="4"/>
  <c r="C88" i="9" s="1"/>
  <c r="I167" i="4"/>
  <c r="F3" i="11" s="1"/>
  <c r="J251" i="4"/>
  <c r="J186" i="4" s="1"/>
  <c r="J164" i="4"/>
  <c r="G36" i="9" s="1"/>
  <c r="F12" i="10" l="1"/>
  <c r="F39" i="9"/>
  <c r="E12" i="10"/>
  <c r="E39" i="9"/>
  <c r="J187" i="4"/>
  <c r="G56" i="9" s="1"/>
  <c r="G55" i="9"/>
  <c r="E178" i="4"/>
  <c r="B48" i="9" s="1"/>
  <c r="F192" i="4"/>
  <c r="C63" i="9" s="1"/>
  <c r="G191" i="4"/>
  <c r="D61" i="9" s="1"/>
  <c r="H190" i="4"/>
  <c r="E60" i="9" s="1"/>
  <c r="F258" i="4"/>
  <c r="C16" i="11" s="1"/>
  <c r="F221" i="4"/>
  <c r="C89" i="9" s="1"/>
  <c r="I199" i="4"/>
  <c r="F70" i="9" s="1"/>
  <c r="H199" i="4"/>
  <c r="E70" i="9" s="1"/>
  <c r="J166" i="4"/>
  <c r="G38" i="9" s="1"/>
  <c r="H205" i="4" l="1"/>
  <c r="E76" i="9" s="1"/>
  <c r="I190" i="4"/>
  <c r="F60" i="9" s="1"/>
  <c r="H191" i="4"/>
  <c r="E61" i="9" s="1"/>
  <c r="G192" i="4"/>
  <c r="D63" i="9" s="1"/>
  <c r="J167" i="4"/>
  <c r="G3" i="11" s="1"/>
  <c r="I205" i="4"/>
  <c r="F76" i="9" s="1"/>
  <c r="F222" i="4"/>
  <c r="C17" i="11" s="1"/>
  <c r="E180" i="4"/>
  <c r="B50" i="9" s="1"/>
  <c r="C90" i="9" l="1"/>
  <c r="G39" i="9"/>
  <c r="G12" i="10"/>
  <c r="H192" i="4"/>
  <c r="E63" i="9" s="1"/>
  <c r="I221" i="4"/>
  <c r="F89" i="9" s="1"/>
  <c r="I258" i="4"/>
  <c r="F16" i="11" s="1"/>
  <c r="J190" i="4"/>
  <c r="G60" i="9" s="1"/>
  <c r="F175" i="4"/>
  <c r="C45" i="9" s="1"/>
  <c r="G220" i="4"/>
  <c r="D88" i="9" s="1"/>
  <c r="J199" i="4"/>
  <c r="G70" i="9" s="1"/>
  <c r="I191" i="4"/>
  <c r="F61" i="9" s="1"/>
  <c r="E194" i="4"/>
  <c r="B64" i="9" s="1"/>
  <c r="H221" i="4"/>
  <c r="E89" i="9" s="1"/>
  <c r="H258" i="4"/>
  <c r="E16" i="11" s="1"/>
  <c r="I192" i="4" l="1"/>
  <c r="F63" i="9" s="1"/>
  <c r="J191" i="4"/>
  <c r="G61" i="9" s="1"/>
  <c r="J205" i="4"/>
  <c r="G76" i="9" s="1"/>
  <c r="G222" i="4"/>
  <c r="D17" i="11" s="1"/>
  <c r="F178" i="4"/>
  <c r="C48" i="9" s="1"/>
  <c r="E3" i="4"/>
  <c r="D90" i="9" l="1"/>
  <c r="F180" i="4"/>
  <c r="C50" i="9" s="1"/>
  <c r="G175" i="4"/>
  <c r="D45" i="9" s="1"/>
  <c r="H220" i="4"/>
  <c r="E88" i="9" s="1"/>
  <c r="J192" i="4"/>
  <c r="G63" i="9" s="1"/>
  <c r="J221" i="4"/>
  <c r="G89" i="9" s="1"/>
  <c r="J258" i="4"/>
  <c r="G16" i="11" s="1"/>
  <c r="H222" i="4" l="1"/>
  <c r="E17" i="11" s="1"/>
  <c r="G178" i="4"/>
  <c r="D48" i="9" s="1"/>
  <c r="F194" i="4"/>
  <c r="C64" i="9" s="1"/>
  <c r="E90" i="9" l="1"/>
  <c r="F3" i="4"/>
  <c r="I220" i="4"/>
  <c r="F88" i="9" s="1"/>
  <c r="H175" i="4"/>
  <c r="E45" i="9" s="1"/>
  <c r="G180" i="4"/>
  <c r="D50" i="9" s="1"/>
  <c r="G194" i="4" l="1"/>
  <c r="D64" i="9" s="1"/>
  <c r="H178" i="4"/>
  <c r="E48" i="9" s="1"/>
  <c r="I222" i="4"/>
  <c r="F17" i="11" s="1"/>
  <c r="F90" i="9" l="1"/>
  <c r="I175" i="4"/>
  <c r="F45" i="9" s="1"/>
  <c r="J220" i="4"/>
  <c r="G88" i="9" s="1"/>
  <c r="H180" i="4"/>
  <c r="E50" i="9" s="1"/>
  <c r="G3" i="4"/>
  <c r="H194" i="4" l="1"/>
  <c r="E64" i="9" s="1"/>
  <c r="J222" i="4"/>
  <c r="G17" i="11" s="1"/>
  <c r="I178" i="4"/>
  <c r="F48" i="9" s="1"/>
  <c r="G90" i="9" l="1"/>
  <c r="I180" i="4"/>
  <c r="F50" i="9" s="1"/>
  <c r="J175" i="4"/>
  <c r="G45" i="9" s="1"/>
  <c r="H3" i="4"/>
  <c r="J178" i="4" l="1"/>
  <c r="G48" i="9" s="1"/>
  <c r="I194" i="4"/>
  <c r="F64" i="9" s="1"/>
  <c r="I3" i="4" l="1"/>
  <c r="J180" i="4"/>
  <c r="G50" i="9" s="1"/>
  <c r="J194" i="4" l="1"/>
  <c r="G64" i="9" s="1"/>
  <c r="J3" i="4" l="1"/>
</calcChain>
</file>

<file path=xl/sharedStrings.xml><?xml version="1.0" encoding="utf-8"?>
<sst xmlns="http://schemas.openxmlformats.org/spreadsheetml/2006/main" count="365" uniqueCount="246">
  <si>
    <t>Orders Placed</t>
  </si>
  <si>
    <t>Order Details</t>
  </si>
  <si>
    <t>Order Fulfilment</t>
  </si>
  <si>
    <t>Assumptions</t>
  </si>
  <si>
    <t>General &amp; Administrative</t>
  </si>
  <si>
    <t>Balance Sheet Items</t>
  </si>
  <si>
    <t>Liabilities</t>
  </si>
  <si>
    <t>Depreciation</t>
  </si>
  <si>
    <t>Income Statement</t>
  </si>
  <si>
    <t>Margin</t>
  </si>
  <si>
    <t>Marketing</t>
  </si>
  <si>
    <t>Fulfilment</t>
  </si>
  <si>
    <t>EBITDA</t>
  </si>
  <si>
    <t>Interest</t>
  </si>
  <si>
    <t>Taxes</t>
  </si>
  <si>
    <t>Balance Sheet</t>
  </si>
  <si>
    <t>ASSETS</t>
  </si>
  <si>
    <t>Cash</t>
  </si>
  <si>
    <t>Inventory</t>
  </si>
  <si>
    <t>LIABILITIES &amp; SHAREHOLDER EQUITY</t>
  </si>
  <si>
    <t>Cash Flow Statement</t>
  </si>
  <si>
    <t>Supporting Schedules</t>
  </si>
  <si>
    <t>Payback (# of orders)</t>
  </si>
  <si>
    <t>Startup year</t>
  </si>
  <si>
    <t>Debt</t>
  </si>
  <si>
    <t>Revenue</t>
  </si>
  <si>
    <t>Debt Schedule</t>
  </si>
  <si>
    <t>Annual traffic growth (YoY %)</t>
  </si>
  <si>
    <t>Total annual site visits – Year 1</t>
  </si>
  <si>
    <t>Acquisition Channels</t>
  </si>
  <si>
    <t>CPC per year</t>
  </si>
  <si>
    <t>Shipping cost per order – Year 1</t>
  </si>
  <si>
    <t>Handling cost per order – Year 1</t>
  </si>
  <si>
    <t>Average order value (gross) per year</t>
  </si>
  <si>
    <t>Office rent – start year</t>
  </si>
  <si>
    <t>Office rent amount (when active)</t>
  </si>
  <si>
    <t>Conversion rates</t>
  </si>
  <si>
    <t>Warehouse rent amount (when active)</t>
  </si>
  <si>
    <t>Warehouse rent – start year</t>
  </si>
  <si>
    <t>Warehouse rent per year</t>
  </si>
  <si>
    <t>Capex as % of net revenue</t>
  </si>
  <si>
    <t>Initial equity injection</t>
  </si>
  <si>
    <t>Number of days in a year</t>
  </si>
  <si>
    <t>Initial loan amount</t>
  </si>
  <si>
    <t>Loan start year</t>
  </si>
  <si>
    <t>Loan term (years)</t>
  </si>
  <si>
    <t>Principal repaid</t>
  </si>
  <si>
    <t>Debt repaid (principal)</t>
  </si>
  <si>
    <t>Net increase (decrease) in debt</t>
  </si>
  <si>
    <t>Equity contributed</t>
  </si>
  <si>
    <t>Equity repurchased</t>
  </si>
  <si>
    <t>Net increase (decrease) in equity</t>
  </si>
  <si>
    <t>Site traffic</t>
  </si>
  <si>
    <t>Paid acquisition</t>
  </si>
  <si>
    <t>Organic &amp; direct</t>
  </si>
  <si>
    <t>Retention (email &amp; SMS)</t>
  </si>
  <si>
    <t>Total annual visits</t>
  </si>
  <si>
    <t>Conversion rate – paid acquisition</t>
  </si>
  <si>
    <t>Conversion rate – organic &amp; direct</t>
  </si>
  <si>
    <t>Conversion rate – retention (email &amp; SMS)</t>
  </si>
  <si>
    <t>Orders by channel</t>
  </si>
  <si>
    <t>Traffic by channel</t>
  </si>
  <si>
    <t>AOV inflation (%)</t>
  </si>
  <si>
    <t>Cost of goods sold (%)</t>
  </si>
  <si>
    <t>Discounts &amp; promos (%)</t>
  </si>
  <si>
    <t>Paid acquisition cost per click (CPC) – Year 1</t>
  </si>
  <si>
    <t>CPC inflation (%)</t>
  </si>
  <si>
    <t>Variable – per order</t>
  </si>
  <si>
    <t>Shipping cost inflation (%)</t>
  </si>
  <si>
    <t>Shipping cost per order per year</t>
  </si>
  <si>
    <t>Handling cost per order per year</t>
  </si>
  <si>
    <t>Total variable fulfilment cost per order per year</t>
  </si>
  <si>
    <t>Fixed – warehouse</t>
  </si>
  <si>
    <t>Warehouse rent – annual inflation (%)</t>
  </si>
  <si>
    <t>Office rent – annual inflation (%)</t>
  </si>
  <si>
    <t>Salaries, wages &amp; benefits – Year 1</t>
  </si>
  <si>
    <t>Professional fees – Year 1</t>
  </si>
  <si>
    <t>Salaries &amp; professional fees inflation (%)</t>
  </si>
  <si>
    <t>Miscellaneous – Year 1</t>
  </si>
  <si>
    <t>Fixed – annual run rate</t>
  </si>
  <si>
    <t>Salaries, wages &amp; benefits per year</t>
  </si>
  <si>
    <t>Office rent per year</t>
  </si>
  <si>
    <t>Professional fees per year</t>
  </si>
  <si>
    <t>Miscellaneous per year</t>
  </si>
  <si>
    <t>Total G&amp;A per year</t>
  </si>
  <si>
    <t>Current assets – working capital</t>
  </si>
  <si>
    <t>Accounts receivable days</t>
  </si>
  <si>
    <t>Inventory days – Year 1</t>
  </si>
  <si>
    <t>Inventory turns growth (YoY %)</t>
  </si>
  <si>
    <t>Inventory turns per year</t>
  </si>
  <si>
    <t>Current liabilities – working capital</t>
  </si>
  <si>
    <t>Accounts payable days</t>
  </si>
  <si>
    <t>Depreciation period (straight-line, years)</t>
  </si>
  <si>
    <t>Capex – assets &amp; equipment per year</t>
  </si>
  <si>
    <t>Loan interest rate (%)</t>
  </si>
  <si>
    <t>Annual principal repayment per year</t>
  </si>
  <si>
    <t>Tax rate (%)</t>
  </si>
  <si>
    <t>Capex &amp; depreciation</t>
  </si>
  <si>
    <t>Opening PP&amp;E balance</t>
  </si>
  <si>
    <t>PP&amp;E additions (capex)</t>
  </si>
  <si>
    <t>PP&amp;E before depreciation</t>
  </si>
  <si>
    <t>Depreciation expense (PP&amp;E)</t>
  </si>
  <si>
    <t>Total depreciation expense per year</t>
  </si>
  <si>
    <t>Closing PP&amp;E balance (net)</t>
  </si>
  <si>
    <t>Opening debt balance</t>
  </si>
  <si>
    <t>New borrowings</t>
  </si>
  <si>
    <t>Debt balance before repayments</t>
  </si>
  <si>
    <t>Interest on debt</t>
  </si>
  <si>
    <t>Closing debt balance</t>
  </si>
  <si>
    <t>Debt service: principal + interest</t>
  </si>
  <si>
    <t>Total fixed operating costs</t>
  </si>
  <si>
    <t>Gross revenue</t>
  </si>
  <si>
    <t>Net revenue</t>
  </si>
  <si>
    <t>Cost of goods sold</t>
  </si>
  <si>
    <t>Gross profit</t>
  </si>
  <si>
    <t>Gross margin</t>
  </si>
  <si>
    <t>Variable operating expenses</t>
  </si>
  <si>
    <t>Total variable operating costs</t>
  </si>
  <si>
    <t>Contribution margin</t>
  </si>
  <si>
    <t>General &amp; administrative</t>
  </si>
  <si>
    <t>Fixed operating expenses</t>
  </si>
  <si>
    <t>Net income</t>
  </si>
  <si>
    <t>Dividends paid</t>
  </si>
  <si>
    <t>Earnings before tax (EBT)</t>
  </si>
  <si>
    <t>Total current assets</t>
  </si>
  <si>
    <t>Accounts receivable</t>
  </si>
  <si>
    <t>Current assets</t>
  </si>
  <si>
    <t>Current liabilities</t>
  </si>
  <si>
    <t>Property &amp; equipment (PP&amp;E, net)</t>
  </si>
  <si>
    <t>Accounts payable</t>
  </si>
  <si>
    <t>Total current liabilities</t>
  </si>
  <si>
    <t>Share capital</t>
  </si>
  <si>
    <t>Retained earnings</t>
  </si>
  <si>
    <t>Balance check (assets – liabilities – equity)</t>
  </si>
  <si>
    <t>Total liabilities</t>
  </si>
  <si>
    <t>Total assets</t>
  </si>
  <si>
    <t>Opening cash balance</t>
  </si>
  <si>
    <t>Net change in cash</t>
  </si>
  <si>
    <t>Closing cash balance</t>
  </si>
  <si>
    <t>Net cash from financing activities</t>
  </si>
  <si>
    <t>Debt issued (new borrowings)</t>
  </si>
  <si>
    <t>Net cash from investing activities</t>
  </si>
  <si>
    <t>Capital expenditures (capex)</t>
  </si>
  <si>
    <t>Investing activities</t>
  </si>
  <si>
    <t>Financing activities</t>
  </si>
  <si>
    <t>Operating activities</t>
  </si>
  <si>
    <t>Net cash from operating activities</t>
  </si>
  <si>
    <t>Customer &amp; Operating Metrics</t>
  </si>
  <si>
    <t>Marketing – Paid Acquisition (Variable)</t>
  </si>
  <si>
    <t>Capex &amp; Depreciation – PP&amp;E Schedule</t>
  </si>
  <si>
    <t>Repeat purchase rate – Year 1</t>
  </si>
  <si>
    <t>Repeat purchase frequency (orders/yr)</t>
  </si>
  <si>
    <t>Annual retention improvement %</t>
  </si>
  <si>
    <t>Return/refund rate (%)</t>
  </si>
  <si>
    <t>Payment processing fee (%)</t>
  </si>
  <si>
    <t>Marketplace/platform fee (%)</t>
  </si>
  <si>
    <t>Annual COGS improvement %</t>
  </si>
  <si>
    <t>Effective COGS %</t>
  </si>
  <si>
    <t>Packaging cost per order</t>
  </si>
  <si>
    <t>Customer support cost per order</t>
  </si>
  <si>
    <t>Months to full team</t>
  </si>
  <si>
    <t>Monthly SaaS / technology costs</t>
  </si>
  <si>
    <t>TRAFFIC &amp; ACQUISITION</t>
  </si>
  <si>
    <t>Site Traffic</t>
  </si>
  <si>
    <t>Channel Mix</t>
  </si>
  <si>
    <t>% of visits – paid acquisition</t>
  </si>
  <si>
    <t>% of visits – organic &amp; direct</t>
  </si>
  <si>
    <t>% of visits – retention (email &amp; SMS)</t>
  </si>
  <si>
    <t>Channel mix check (should = 100%)</t>
  </si>
  <si>
    <t>Conversion Rates</t>
  </si>
  <si>
    <t>REPEAT PURCHASES</t>
  </si>
  <si>
    <t>ORDER ECONOMICS</t>
  </si>
  <si>
    <t>Average order value (gross) – Year 1</t>
  </si>
  <si>
    <t>MARKETING</t>
  </si>
  <si>
    <t>Paid acquisition CPC – Year 1</t>
  </si>
  <si>
    <t>FULFILMENT</t>
  </si>
  <si>
    <t>WAREHOUSE</t>
  </si>
  <si>
    <t>GENERAL &amp; ADMINISTRATIVE</t>
  </si>
  <si>
    <t>WORKING CAPITAL</t>
  </si>
  <si>
    <t>Inventory turns improvement (%)</t>
  </si>
  <si>
    <t>CAPEX &amp; DEPRECIATION</t>
  </si>
  <si>
    <t>FINANCING</t>
  </si>
  <si>
    <t>TAX</t>
  </si>
  <si>
    <t>Financial Model - Assumptions</t>
  </si>
  <si>
    <t>Financial Statements</t>
  </si>
  <si>
    <t>LIABILITIES</t>
  </si>
  <si>
    <t>SHAREHOLDERS' EQUITY</t>
  </si>
  <si>
    <t>Dashboard</t>
  </si>
  <si>
    <t>Key Performance Indicators</t>
  </si>
  <si>
    <t>Total traffic mix</t>
  </si>
  <si>
    <t>N/A</t>
  </si>
  <si>
    <t>Unit Economics</t>
  </si>
  <si>
    <t>Profitability</t>
  </si>
  <si>
    <t>Volume</t>
  </si>
  <si>
    <t>Channel mix</t>
  </si>
  <si>
    <t>Financing – Debt</t>
  </si>
  <si>
    <t>Financing – Equity</t>
  </si>
  <si>
    <t>Changes in non-cash working capital</t>
  </si>
  <si>
    <t>Shareholder equity</t>
  </si>
  <si>
    <t>Average net order value per year</t>
  </si>
  <si>
    <t>Cumulative new customers (prior years)</t>
  </si>
  <si>
    <t>Repeat orders</t>
  </si>
  <si>
    <t>SaaS / technology per year</t>
  </si>
  <si>
    <t>Less: Discounts, promotions &amp; markdowns</t>
  </si>
  <si>
    <t>Gross orders (new + repeat)</t>
  </si>
  <si>
    <t>Contribution margin per order</t>
  </si>
  <si>
    <t>New orders (from traffic)</t>
  </si>
  <si>
    <t>Effective repeat rate</t>
  </si>
  <si>
    <t>Cash balance</t>
  </si>
  <si>
    <t>Burn rate</t>
  </si>
  <si>
    <t>Customer acquisition cost</t>
  </si>
  <si>
    <t>Customer acquisition cost (CAC)</t>
  </si>
  <si>
    <t>Total liabilities &amp; shareholders' equity</t>
  </si>
  <si>
    <t>Total shareholders' equity</t>
  </si>
  <si>
    <t>Balance sheet check</t>
  </si>
  <si>
    <t>Interest expense</t>
  </si>
  <si>
    <t xml:space="preserve">  Warehouse / fulfilment</t>
  </si>
  <si>
    <t>Less: Discounts &amp; promotions</t>
  </si>
  <si>
    <t>Income tax</t>
  </si>
  <si>
    <t xml:space="preserve">  General &amp; administrative</t>
  </si>
  <si>
    <t>Total variable costs</t>
  </si>
  <si>
    <t>Total liabilities &amp; equity</t>
  </si>
  <si>
    <t>Total equity</t>
  </si>
  <si>
    <t>Total fixed costs</t>
  </si>
  <si>
    <t>Gross margin %</t>
  </si>
  <si>
    <t>Contribution margin %</t>
  </si>
  <si>
    <t>Net cash from financing</t>
  </si>
  <si>
    <t>EBITDA margin %</t>
  </si>
  <si>
    <t>Net cash from operations</t>
  </si>
  <si>
    <t>Net cash from investing</t>
  </si>
  <si>
    <t>Balance check</t>
  </si>
  <si>
    <t>Total orders</t>
  </si>
  <si>
    <t>Average order value</t>
  </si>
  <si>
    <t>Contribution margin / order</t>
  </si>
  <si>
    <t>Revenue growth %</t>
  </si>
  <si>
    <t>CAC</t>
  </si>
  <si>
    <t>AOV</t>
  </si>
  <si>
    <t>Less: Returns &amp; refunds</t>
  </si>
  <si>
    <t>Less: Platform fees</t>
  </si>
  <si>
    <t>Less: Payment processing</t>
  </si>
  <si>
    <t>Shipping &amp; handling</t>
  </si>
  <si>
    <t>Packaging</t>
  </si>
  <si>
    <t>Customer support</t>
  </si>
  <si>
    <t>Marketing (paid acquisition)</t>
  </si>
  <si>
    <t>Long-term debt</t>
  </si>
  <si>
    <t>Changes in working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</si>
</sst>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0.0%"/>
    <numFmt numFmtId="166" formatCode="#,##0.0_);\(#,##0.0\)"/>
    <numFmt numFmtId="167" formatCode="#,##0.000_);\(#,##0.000\)"/>
    <numFmt numFmtId="168" formatCode="_-* #,##0_-;\(#,##0\)_-;_-* &quot;-&quot;_-;_-@_-"/>
    <numFmt numFmtId="169" formatCode="0.0"/>
    <numFmt numFmtId="170" formatCode="&quot;$&quot;#,##0.00"/>
    <numFmt numFmtId="171" formatCode="&quot;$&quot;#,##0"/>
    <numFmt numFmtId="172" formatCode="0.0\x"/>
    <numFmt numFmtId="173" formatCode="&quot;$&quot;#,##0;\(&quot;$&quot;#,##0\);&quot;-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i/>
      <sz val="11"/>
      <color theme="0"/>
      <name val="Times New Roman"/>
      <family val="1"/>
    </font>
    <font>
      <sz val="16"/>
      <color theme="0"/>
      <name val="Times New Roman"/>
      <family val="1"/>
    </font>
    <font>
      <b/>
      <sz val="16"/>
      <color theme="0"/>
      <name val="Times New Roman"/>
      <family val="1"/>
    </font>
    <font>
      <i/>
      <sz val="11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b/>
      <sz val="16"/>
      <color rgb="FFFFFFFF"/>
      <name val="Times New Roman"/>
      <family val="1"/>
    </font>
    <font>
      <b/>
      <sz val="14"/>
      <color rgb="FFFFFFFF"/>
      <name val="Times New Roman"/>
      <family val="1"/>
    </font>
    <font>
      <i/>
      <sz val="11"/>
      <color rgb="FF000000"/>
      <name val="Times New Roman"/>
      <family val="1"/>
    </font>
    <font>
      <b/>
      <sz val="12"/>
      <color rgb="FFFFFFFF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8000"/>
      <name val="Times New Roman"/>
      <family val="1"/>
    </font>
    <font>
      <i/>
      <sz val="11"/>
      <color rgb="FF80808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EEF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140">
    <xf numFmtId="0" fontId="0" fillId="0" borderId="0" xfId="0"/>
    <xf numFmtId="37" fontId="3" fillId="2" borderId="0" xfId="0" applyNumberFormat="1" applyFont="1" applyFill="1" applyAlignment="1">
      <alignment vertical="top"/>
    </xf>
    <xf numFmtId="37" fontId="3" fillId="2" borderId="0" xfId="0" applyNumberFormat="1" applyFont="1" applyFill="1" applyAlignment="1">
      <alignment horizontal="right" vertical="top"/>
    </xf>
    <xf numFmtId="37" fontId="4" fillId="0" borderId="0" xfId="0" applyNumberFormat="1" applyFont="1"/>
    <xf numFmtId="168" fontId="5" fillId="2" borderId="0" xfId="2" applyNumberFormat="1" applyFont="1" applyFill="1" applyAlignment="1" applyProtection="1">
      <alignment horizontal="left"/>
      <protection locked="0"/>
    </xf>
    <xf numFmtId="37" fontId="6" fillId="2" borderId="0" xfId="0" applyNumberFormat="1" applyFont="1" applyFill="1"/>
    <xf numFmtId="0" fontId="7" fillId="2" borderId="0" xfId="0" applyFont="1" applyFill="1"/>
    <xf numFmtId="168" fontId="8" fillId="0" borderId="0" xfId="2" applyNumberFormat="1" applyFont="1" applyProtection="1">
      <protection locked="0"/>
    </xf>
    <xf numFmtId="168" fontId="8" fillId="0" borderId="0" xfId="2" applyNumberFormat="1" applyFont="1" applyAlignment="1" applyProtection="1">
      <alignment horizontal="center"/>
      <protection locked="0"/>
    </xf>
    <xf numFmtId="168" fontId="8" fillId="0" borderId="0" xfId="2" applyNumberFormat="1" applyFont="1" applyAlignment="1">
      <alignment horizontal="right"/>
    </xf>
    <xf numFmtId="168" fontId="4" fillId="0" borderId="0" xfId="2" applyNumberFormat="1" applyFont="1" applyProtection="1">
      <protection locked="0"/>
    </xf>
    <xf numFmtId="37" fontId="9" fillId="4" borderId="0" xfId="0" applyNumberFormat="1" applyFont="1" applyFill="1" applyAlignment="1">
      <alignment vertical="center"/>
    </xf>
    <xf numFmtId="37" fontId="10" fillId="0" borderId="0" xfId="0" applyNumberFormat="1" applyFont="1" applyAlignment="1">
      <alignment vertical="center"/>
    </xf>
    <xf numFmtId="37" fontId="4" fillId="3" borderId="0" xfId="0" applyNumberFormat="1" applyFont="1" applyFill="1"/>
    <xf numFmtId="37" fontId="4" fillId="0" borderId="0" xfId="0" applyNumberFormat="1" applyFont="1" applyAlignment="1">
      <alignment horizontal="center" vertical="center"/>
    </xf>
    <xf numFmtId="37" fontId="11" fillId="0" borderId="1" xfId="0" applyNumberFormat="1" applyFont="1" applyBorder="1"/>
    <xf numFmtId="37" fontId="8" fillId="0" borderId="0" xfId="0" applyNumberFormat="1" applyFont="1"/>
    <xf numFmtId="37" fontId="11" fillId="0" borderId="0" xfId="0" applyNumberFormat="1" applyFont="1"/>
    <xf numFmtId="165" fontId="8" fillId="0" borderId="0" xfId="1" applyNumberFormat="1" applyFont="1"/>
    <xf numFmtId="37" fontId="4" fillId="0" borderId="1" xfId="0" applyNumberFormat="1" applyFont="1" applyBorder="1"/>
    <xf numFmtId="39" fontId="4" fillId="0" borderId="0" xfId="0" applyNumberFormat="1" applyFont="1"/>
    <xf numFmtId="39" fontId="13" fillId="0" borderId="1" xfId="0" applyNumberFormat="1" applyFont="1" applyBorder="1"/>
    <xf numFmtId="39" fontId="13" fillId="0" borderId="0" xfId="0" applyNumberFormat="1" applyFont="1"/>
    <xf numFmtId="9" fontId="4" fillId="0" borderId="0" xfId="1" applyFont="1" applyAlignment="1">
      <alignment horizontal="center" vertical="center"/>
    </xf>
    <xf numFmtId="37" fontId="13" fillId="0" borderId="1" xfId="0" applyNumberFormat="1" applyFont="1" applyBorder="1"/>
    <xf numFmtId="166" fontId="4" fillId="0" borderId="0" xfId="0" applyNumberFormat="1" applyFont="1"/>
    <xf numFmtId="37" fontId="14" fillId="0" borderId="0" xfId="0" applyNumberFormat="1" applyFont="1"/>
    <xf numFmtId="37" fontId="11" fillId="0" borderId="2" xfId="0" applyNumberFormat="1" applyFont="1" applyBorder="1"/>
    <xf numFmtId="37" fontId="4" fillId="0" borderId="2" xfId="0" applyNumberFormat="1" applyFont="1" applyBorder="1"/>
    <xf numFmtId="167" fontId="8" fillId="0" borderId="0" xfId="0" applyNumberFormat="1" applyFont="1"/>
    <xf numFmtId="37" fontId="4" fillId="0" borderId="0" xfId="0" applyNumberFormat="1" applyFont="1" applyAlignment="1">
      <alignment horizontal="left" indent="1"/>
    </xf>
    <xf numFmtId="37" fontId="4" fillId="0" borderId="0" xfId="0" applyNumberFormat="1" applyFont="1" applyAlignment="1">
      <alignment horizontal="left" indent="2"/>
    </xf>
    <xf numFmtId="37" fontId="4" fillId="0" borderId="0" xfId="0" applyNumberFormat="1" applyFont="1" applyAlignment="1">
      <alignment horizontal="left" indent="3"/>
    </xf>
    <xf numFmtId="37" fontId="11" fillId="0" borderId="1" xfId="0" applyNumberFormat="1" applyFont="1" applyBorder="1" applyAlignment="1">
      <alignment horizontal="left" indent="2"/>
    </xf>
    <xf numFmtId="37" fontId="11" fillId="0" borderId="1" xfId="0" applyNumberFormat="1" applyFont="1" applyBorder="1" applyAlignment="1">
      <alignment horizontal="left" indent="3"/>
    </xf>
    <xf numFmtId="37" fontId="11" fillId="0" borderId="0" xfId="0" applyNumberFormat="1" applyFont="1" applyAlignment="1">
      <alignment horizontal="left" indent="2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37" fontId="4" fillId="0" borderId="0" xfId="0" applyNumberFormat="1" applyFont="1" applyAlignment="1">
      <alignment horizontal="center"/>
    </xf>
    <xf numFmtId="37" fontId="4" fillId="0" borderId="1" xfId="0" applyNumberFormat="1" applyFont="1" applyBorder="1" applyAlignment="1">
      <alignment horizontal="left" indent="2"/>
    </xf>
    <xf numFmtId="37" fontId="4" fillId="0" borderId="0" xfId="0" applyNumberFormat="1" applyFont="1" applyAlignment="1">
      <alignment horizontal="left"/>
    </xf>
    <xf numFmtId="37" fontId="13" fillId="0" borderId="0" xfId="0" applyNumberFormat="1" applyFont="1"/>
    <xf numFmtId="165" fontId="15" fillId="0" borderId="0" xfId="0" applyNumberFormat="1" applyFont="1"/>
    <xf numFmtId="37" fontId="15" fillId="5" borderId="0" xfId="0" applyNumberFormat="1" applyFont="1" applyFill="1" applyAlignment="1">
      <alignment horizontal="left"/>
    </xf>
    <xf numFmtId="37" fontId="15" fillId="5" borderId="0" xfId="0" applyNumberFormat="1" applyFont="1" applyFill="1"/>
    <xf numFmtId="165" fontId="17" fillId="5" borderId="0" xfId="0" applyNumberFormat="1" applyFont="1" applyFill="1"/>
    <xf numFmtId="0" fontId="18" fillId="2" borderId="0" xfId="0" applyFont="1" applyFill="1"/>
    <xf numFmtId="1" fontId="19" fillId="2" borderId="0" xfId="0" applyNumberFormat="1" applyFont="1" applyFill="1" applyAlignment="1">
      <alignment horizontal="center"/>
    </xf>
    <xf numFmtId="0" fontId="20" fillId="4" borderId="0" xfId="0" applyFont="1" applyFill="1"/>
    <xf numFmtId="0" fontId="15" fillId="5" borderId="0" xfId="0" applyFont="1" applyFill="1" applyAlignment="1">
      <alignment horizontal="right"/>
    </xf>
    <xf numFmtId="165" fontId="21" fillId="5" borderId="0" xfId="0" applyNumberFormat="1" applyFont="1" applyFill="1" applyAlignment="1">
      <alignment horizontal="right"/>
    </xf>
    <xf numFmtId="0" fontId="16" fillId="6" borderId="0" xfId="0" applyFont="1" applyFill="1" applyAlignment="1">
      <alignment horizontal="right"/>
    </xf>
    <xf numFmtId="0" fontId="20" fillId="4" borderId="0" xfId="0" applyFont="1" applyFill="1" applyAlignment="1">
      <alignment horizontal="right"/>
    </xf>
    <xf numFmtId="0" fontId="19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20" fillId="4" borderId="0" xfId="0" applyFont="1" applyFill="1" applyAlignment="1">
      <alignment horizontal="left"/>
    </xf>
    <xf numFmtId="0" fontId="16" fillId="5" borderId="0" xfId="0" applyFont="1" applyFill="1" applyAlignment="1">
      <alignment horizontal="left"/>
    </xf>
    <xf numFmtId="0" fontId="21" fillId="5" borderId="0" xfId="0" applyFont="1" applyFill="1" applyAlignment="1">
      <alignment horizontal="left"/>
    </xf>
    <xf numFmtId="0" fontId="16" fillId="6" borderId="0" xfId="0" applyFont="1" applyFill="1" applyAlignment="1">
      <alignment horizontal="left"/>
    </xf>
    <xf numFmtId="0" fontId="22" fillId="4" borderId="0" xfId="0" applyFont="1" applyFill="1" applyAlignment="1">
      <alignment horizontal="left"/>
    </xf>
    <xf numFmtId="0" fontId="18" fillId="2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3" fontId="12" fillId="5" borderId="0" xfId="0" applyNumberFormat="1" applyFont="1" applyFill="1" applyAlignment="1">
      <alignment horizontal="center"/>
    </xf>
    <xf numFmtId="165" fontId="12" fillId="5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3" fillId="0" borderId="0" xfId="0" applyFont="1"/>
    <xf numFmtId="0" fontId="15" fillId="5" borderId="6" xfId="0" applyFont="1" applyFill="1" applyBorder="1" applyAlignment="1">
      <alignment horizontal="right"/>
    </xf>
    <xf numFmtId="0" fontId="4" fillId="0" borderId="0" xfId="0" applyFont="1"/>
    <xf numFmtId="165" fontId="8" fillId="0" borderId="0" xfId="0" applyNumberFormat="1" applyFont="1" applyAlignment="1">
      <alignment horizontal="right"/>
    </xf>
    <xf numFmtId="37" fontId="15" fillId="0" borderId="0" xfId="0" applyNumberFormat="1" applyFont="1"/>
    <xf numFmtId="37" fontId="16" fillId="0" borderId="0" xfId="0" applyNumberFormat="1" applyFont="1"/>
    <xf numFmtId="37" fontId="24" fillId="0" borderId="0" xfId="0" applyNumberFormat="1" applyFont="1" applyAlignment="1">
      <alignment horizontal="center" vertical="center"/>
    </xf>
    <xf numFmtId="165" fontId="24" fillId="0" borderId="0" xfId="1" applyNumberFormat="1" applyFont="1" applyAlignment="1">
      <alignment horizontal="center" vertical="center"/>
    </xf>
    <xf numFmtId="165" fontId="24" fillId="0" borderId="0" xfId="1" applyNumberFormat="1" applyFont="1" applyBorder="1" applyAlignment="1">
      <alignment horizontal="center" vertical="center"/>
    </xf>
    <xf numFmtId="9" fontId="24" fillId="0" borderId="0" xfId="1" applyFont="1" applyBorder="1" applyAlignment="1">
      <alignment horizontal="center" vertical="center"/>
    </xf>
    <xf numFmtId="169" fontId="24" fillId="0" borderId="0" xfId="1" applyNumberFormat="1" applyFont="1" applyBorder="1" applyAlignment="1">
      <alignment horizontal="center" vertical="center"/>
    </xf>
    <xf numFmtId="9" fontId="24" fillId="0" borderId="0" xfId="1" applyFont="1" applyAlignment="1">
      <alignment horizontal="center" vertical="center"/>
    </xf>
    <xf numFmtId="9" fontId="24" fillId="5" borderId="0" xfId="1" applyFont="1" applyFill="1" applyAlignment="1">
      <alignment horizontal="center" vertical="center"/>
    </xf>
    <xf numFmtId="165" fontId="24" fillId="5" borderId="0" xfId="1" applyNumberFormat="1" applyFont="1" applyFill="1" applyAlignment="1">
      <alignment horizontal="center" vertical="center"/>
    </xf>
    <xf numFmtId="39" fontId="24" fillId="0" borderId="0" xfId="0" applyNumberFormat="1" applyFont="1" applyAlignment="1">
      <alignment horizontal="center" vertical="center"/>
    </xf>
    <xf numFmtId="170" fontId="24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71" fontId="24" fillId="0" borderId="0" xfId="0" applyNumberFormat="1" applyFont="1" applyAlignment="1">
      <alignment horizontal="center" vertical="center"/>
    </xf>
    <xf numFmtId="37" fontId="24" fillId="0" borderId="0" xfId="0" applyNumberFormat="1" applyFont="1" applyAlignment="1">
      <alignment horizontal="center"/>
    </xf>
    <xf numFmtId="165" fontId="24" fillId="0" borderId="0" xfId="1" applyNumberFormat="1" applyFont="1" applyAlignment="1">
      <alignment horizontal="center"/>
    </xf>
    <xf numFmtId="9" fontId="24" fillId="0" borderId="0" xfId="1" applyFont="1" applyAlignment="1">
      <alignment horizontal="center"/>
    </xf>
    <xf numFmtId="165" fontId="15" fillId="0" borderId="0" xfId="1" applyNumberFormat="1" applyFont="1"/>
    <xf numFmtId="165" fontId="15" fillId="0" borderId="0" xfId="1" applyNumberFormat="1" applyFont="1" applyBorder="1"/>
    <xf numFmtId="9" fontId="15" fillId="0" borderId="0" xfId="1" applyFont="1"/>
    <xf numFmtId="39" fontId="15" fillId="0" borderId="0" xfId="0" applyNumberFormat="1" applyFont="1"/>
    <xf numFmtId="10" fontId="15" fillId="0" borderId="0" xfId="1" applyNumberFormat="1" applyFont="1" applyFill="1"/>
    <xf numFmtId="10" fontId="15" fillId="0" borderId="0" xfId="1" applyNumberFormat="1" applyFont="1"/>
    <xf numFmtId="9" fontId="15" fillId="0" borderId="0" xfId="1" applyFont="1" applyAlignment="1">
      <alignment horizontal="center" vertical="center"/>
    </xf>
    <xf numFmtId="9" fontId="15" fillId="0" borderId="0" xfId="1" applyFont="1" applyAlignment="1">
      <alignment horizontal="center"/>
    </xf>
    <xf numFmtId="37" fontId="15" fillId="0" borderId="0" xfId="0" applyNumberFormat="1" applyFont="1" applyAlignment="1">
      <alignment horizontal="center"/>
    </xf>
    <xf numFmtId="37" fontId="11" fillId="0" borderId="4" xfId="0" applyNumberFormat="1" applyFont="1" applyBorder="1"/>
    <xf numFmtId="37" fontId="16" fillId="0" borderId="4" xfId="0" applyNumberFormat="1" applyFont="1" applyBorder="1" applyAlignment="1">
      <alignment horizontal="center" vertical="center"/>
    </xf>
    <xf numFmtId="37" fontId="4" fillId="6" borderId="0" xfId="0" applyNumberFormat="1" applyFont="1" applyFill="1"/>
    <xf numFmtId="37" fontId="24" fillId="6" borderId="0" xfId="0" applyNumberFormat="1" applyFont="1" applyFill="1" applyAlignment="1">
      <alignment horizontal="center"/>
    </xf>
    <xf numFmtId="37" fontId="15" fillId="6" borderId="0" xfId="0" applyNumberFormat="1" applyFont="1" applyFill="1"/>
    <xf numFmtId="37" fontId="15" fillId="6" borderId="0" xfId="0" applyNumberFormat="1" applyFont="1" applyFill="1" applyAlignment="1">
      <alignment horizontal="center"/>
    </xf>
    <xf numFmtId="165" fontId="25" fillId="0" borderId="0" xfId="0" applyNumberFormat="1" applyFont="1" applyAlignment="1">
      <alignment horizontal="right"/>
    </xf>
    <xf numFmtId="173" fontId="4" fillId="0" borderId="0" xfId="0" applyNumberFormat="1" applyFont="1" applyAlignment="1">
      <alignment horizontal="right"/>
    </xf>
    <xf numFmtId="170" fontId="4" fillId="0" borderId="0" xfId="0" applyNumberFormat="1" applyFont="1" applyAlignment="1">
      <alignment horizontal="right"/>
    </xf>
    <xf numFmtId="173" fontId="15" fillId="5" borderId="0" xfId="0" applyNumberFormat="1" applyFont="1" applyFill="1" applyAlignment="1">
      <alignment horizontal="right"/>
    </xf>
    <xf numFmtId="173" fontId="16" fillId="5" borderId="4" xfId="0" applyNumberFormat="1" applyFont="1" applyFill="1" applyBorder="1" applyAlignment="1">
      <alignment horizontal="right"/>
    </xf>
    <xf numFmtId="173" fontId="16" fillId="5" borderId="0" xfId="0" applyNumberFormat="1" applyFont="1" applyFill="1" applyAlignment="1">
      <alignment horizontal="right"/>
    </xf>
    <xf numFmtId="173" fontId="15" fillId="5" borderId="3" xfId="0" applyNumberFormat="1" applyFont="1" applyFill="1" applyBorder="1" applyAlignment="1">
      <alignment horizontal="right"/>
    </xf>
    <xf numFmtId="173" fontId="21" fillId="5" borderId="6" xfId="0" applyNumberFormat="1" applyFont="1" applyFill="1" applyBorder="1" applyAlignment="1">
      <alignment horizontal="right"/>
    </xf>
    <xf numFmtId="173" fontId="16" fillId="6" borderId="0" xfId="0" applyNumberFormat="1" applyFont="1" applyFill="1" applyAlignment="1">
      <alignment horizontal="right"/>
    </xf>
    <xf numFmtId="173" fontId="16" fillId="5" borderId="5" xfId="0" applyNumberFormat="1" applyFont="1" applyFill="1" applyBorder="1" applyAlignment="1">
      <alignment horizontal="right"/>
    </xf>
    <xf numFmtId="170" fontId="12" fillId="5" borderId="0" xfId="0" applyNumberFormat="1" applyFont="1" applyFill="1" applyAlignment="1">
      <alignment horizontal="center"/>
    </xf>
    <xf numFmtId="171" fontId="12" fillId="5" borderId="0" xfId="0" applyNumberFormat="1" applyFont="1" applyFill="1" applyAlignment="1">
      <alignment horizontal="center"/>
    </xf>
    <xf numFmtId="169" fontId="12" fillId="5" borderId="0" xfId="0" applyNumberFormat="1" applyFont="1" applyFill="1" applyAlignment="1">
      <alignment horizontal="center"/>
    </xf>
    <xf numFmtId="9" fontId="21" fillId="5" borderId="0" xfId="0" applyNumberFormat="1" applyFont="1" applyFill="1" applyAlignment="1">
      <alignment horizontal="center"/>
    </xf>
    <xf numFmtId="173" fontId="4" fillId="0" borderId="3" xfId="0" applyNumberFormat="1" applyFont="1" applyBorder="1" applyAlignment="1">
      <alignment horizontal="right"/>
    </xf>
    <xf numFmtId="172" fontId="8" fillId="0" borderId="3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0" fontId="4" fillId="6" borderId="0" xfId="0" applyFont="1" applyFill="1"/>
    <xf numFmtId="37" fontId="20" fillId="4" borderId="0" xfId="0" applyNumberFormat="1" applyFont="1" applyFill="1" applyAlignment="1">
      <alignment vertical="center"/>
    </xf>
    <xf numFmtId="37" fontId="16" fillId="6" borderId="0" xfId="0" applyNumberFormat="1" applyFont="1" applyFill="1"/>
    <xf numFmtId="37" fontId="16" fillId="5" borderId="0" xfId="0" applyNumberFormat="1" applyFont="1" applyFill="1" applyAlignment="1">
      <alignment horizontal="left"/>
    </xf>
    <xf numFmtId="37" fontId="16" fillId="6" borderId="0" xfId="0" applyNumberFormat="1" applyFont="1" applyFill="1" applyAlignment="1">
      <alignment horizontal="left"/>
    </xf>
    <xf numFmtId="37" fontId="16" fillId="5" borderId="0" xfId="0" applyNumberFormat="1" applyFont="1" applyFill="1"/>
    <xf numFmtId="37" fontId="16" fillId="5" borderId="1" xfId="0" applyNumberFormat="1" applyFont="1" applyFill="1" applyBorder="1" applyAlignment="1">
      <alignment horizontal="left"/>
    </xf>
    <xf numFmtId="37" fontId="16" fillId="5" borderId="1" xfId="0" applyNumberFormat="1" applyFont="1" applyFill="1" applyBorder="1"/>
    <xf numFmtId="37" fontId="21" fillId="5" borderId="0" xfId="0" applyNumberFormat="1" applyFont="1" applyFill="1"/>
    <xf numFmtId="37" fontId="16" fillId="5" borderId="2" xfId="0" applyNumberFormat="1" applyFont="1" applyFill="1" applyBorder="1"/>
    <xf numFmtId="0" fontId="16" fillId="5" borderId="1" xfId="0" applyFont="1" applyFill="1" applyBorder="1" applyAlignment="1">
      <alignment horizontal="left"/>
    </xf>
    <xf numFmtId="168" fontId="21" fillId="5" borderId="0" xfId="2" applyNumberFormat="1" applyFont="1" applyFill="1" applyProtection="1">
      <protection locked="0"/>
    </xf>
    <xf numFmtId="37" fontId="21" fillId="5" borderId="0" xfId="0" applyNumberFormat="1" applyFont="1" applyFill="1" applyAlignment="1">
      <alignment horizontal="left"/>
    </xf>
    <xf numFmtId="37" fontId="21" fillId="5" borderId="4" xfId="0" applyNumberFormat="1" applyFont="1" applyFill="1" applyBorder="1" applyAlignment="1">
      <alignment horizontal="left"/>
    </xf>
    <xf numFmtId="0" fontId="16" fillId="5" borderId="0" xfId="0" applyFont="1" applyFill="1"/>
    <xf numFmtId="49" fontId="0" fillId="0" borderId="0" xfId="0" applyNumberFormat="1"/>
    <xf numFmtId="0" fontId="12" fillId="5" borderId="0" xfId="0" applyFont="1" applyFill="1" applyAlignment="1">
      <alignment horizontal="center"/>
    </xf>
    <xf numFmtId="1" fontId="12" fillId="5" borderId="0" xfId="0" applyNumberFormat="1" applyFont="1" applyFill="1" applyAlignment="1">
      <alignment horizontal="center"/>
    </xf>
  </cellXfs>
  <cellStyles count="5">
    <cellStyle name="Comma 2" xfId="2" xr:uid="{00000000-0005-0000-0000-000001000000}"/>
    <cellStyle name="Hyperlink 2 2" xfId="4" xr:uid="{5B73AB34-8F85-4F4B-B19C-C9DF2CD78956}"/>
    <cellStyle name="Normal" xfId="0" builtinId="0"/>
    <cellStyle name="Normal 2 2" xfId="3" xr:uid="{2AD91865-5E31-493B-B11C-3D2A8F4BA907}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00FF"/>
      <color rgb="FF1E8496"/>
      <color rgb="FF00D6FF"/>
      <color rgb="FFFA621C"/>
      <color rgb="FF132E57"/>
      <color rgb="FFED942D"/>
      <color rgb="FFED93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&amp;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E8496"/>
            </a:solidFill>
            <a:ln>
              <a:noFill/>
            </a:ln>
            <a:effectLst/>
          </c:spPr>
          <c:invertIfNegative val="0"/>
          <c:cat>
            <c:numRef>
              <c:f>'Chart Data'!$B$1:$G$1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Data'!$B$2:$G$2</c:f>
              <c:numCache>
                <c:formatCode>General</c:formatCode>
                <c:ptCount val="6"/>
                <c:pt idx="0">
                  <c:v>1890625</c:v>
                </c:pt>
                <c:pt idx="1">
                  <c:v>3587460.9375</c:v>
                </c:pt>
                <c:pt idx="2">
                  <c:v>6068580.1171875</c:v>
                </c:pt>
                <c:pt idx="3">
                  <c:v>9650169.6289453115</c:v>
                </c:pt>
                <c:pt idx="4">
                  <c:v>14770441.807902776</c:v>
                </c:pt>
                <c:pt idx="5">
                  <c:v>22036057.761246424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C-ED49-B40A-9C63B387B88B}"/>
            </c:ext>
          </c:extLst>
        </c:ser>
        <c:ser>
          <c:idx val="1"/>
          <c:order val="1"/>
          <c:tx>
            <c:strRef>
              <c:f>'Chart Data'!$A$3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32E57"/>
            </a:solidFill>
            <a:ln>
              <a:noFill/>
            </a:ln>
            <a:effectLst/>
          </c:spPr>
          <c:invertIfNegative val="0"/>
          <c:cat>
            <c:numRef>
              <c:f>'Chart Data'!$B$1:$G$1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Data'!$B$3:$G$3</c:f>
              <c:numCache>
                <c:formatCode>General</c:formatCode>
                <c:ptCount val="6"/>
                <c:pt idx="0">
                  <c:v>-26578.125</c:v>
                </c:pt>
                <c:pt idx="1">
                  <c:v>-38476.65625</c:v>
                </c:pt>
                <c:pt idx="2">
                  <c:v>268958.54308974621</c:v>
                </c:pt>
                <c:pt idx="3">
                  <c:v>727475.34131829755</c:v>
                </c:pt>
                <c:pt idx="4">
                  <c:v>1420136.9977141765</c:v>
                </c:pt>
                <c:pt idx="5">
                  <c:v>2371143.3447649633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C-ED49-B40A-9C63B387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743632"/>
        <c:axId val="1143438528"/>
      </c:barChart>
      <c:catAx>
        <c:axId val="2090743632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38528"/>
        <c:crosses val="autoZero"/>
        <c:auto val="1"/>
        <c:lblAlgn val="ctr"/>
        <c:lblOffset val="100"/>
        <c:noMultiLvlLbl val="0"/>
      </c:catAx>
      <c:valAx>
        <c:axId val="114343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7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Data'!$A$6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rgbClr val="1E84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E8496"/>
              </a:solidFill>
              <a:ln w="9525">
                <a:solidFill>
                  <a:srgbClr val="1E8496"/>
                </a:solidFill>
                <a:prstDash val="solid"/>
              </a:ln>
              <a:effectLst/>
            </c:spPr>
          </c:marker>
          <c:cat>
            <c:numRef>
              <c:f>'Chart Data'!$B$5:$G$5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Data'!$B$6:$G$6</c:f>
              <c:numCache>
                <c:formatCode>General</c:formatCode>
                <c:ptCount val="6"/>
                <c:pt idx="0">
                  <c:v>0.35149156939040205</c:v>
                </c:pt>
                <c:pt idx="1">
                  <c:v>0.35797665369649806</c:v>
                </c:pt>
                <c:pt idx="2">
                  <c:v>0.36439688715953311</c:v>
                </c:pt>
                <c:pt idx="3">
                  <c:v>0.37075291828793783</c:v>
                </c:pt>
                <c:pt idx="4">
                  <c:v>0.37704538910505847</c:v>
                </c:pt>
                <c:pt idx="5">
                  <c:v>0.38327493521400791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B-B34B-A760-9CDEA8312AC9}"/>
            </c:ext>
          </c:extLst>
        </c:ser>
        <c:ser>
          <c:idx val="1"/>
          <c:order val="1"/>
          <c:tx>
            <c:strRef>
              <c:f>'Chart Data'!$A$7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rgbClr val="132E5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32E57"/>
              </a:solidFill>
              <a:ln w="9525">
                <a:solidFill>
                  <a:srgbClr val="132E57"/>
                </a:solidFill>
                <a:prstDash val="solid"/>
              </a:ln>
              <a:effectLst/>
            </c:spPr>
          </c:marker>
          <c:cat>
            <c:numRef>
              <c:f>'Chart Data'!$B$5:$G$5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Data'!$B$7:$G$7</c:f>
              <c:numCache>
                <c:formatCode>General</c:formatCode>
                <c:ptCount val="6"/>
                <c:pt idx="0">
                  <c:v>7.7070671340215028E-3</c:v>
                </c:pt>
                <c:pt idx="1">
                  <c:v>2.5700217019664861E-2</c:v>
                </c:pt>
                <c:pt idx="2">
                  <c:v>0.1260013737950704</c:v>
                </c:pt>
                <c:pt idx="3">
                  <c:v>0.18734559567207412</c:v>
                </c:pt>
                <c:pt idx="4">
                  <c:v>0.22943968273146309</c:v>
                </c:pt>
                <c:pt idx="5">
                  <c:v>0.26069117026808097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B-B34B-A760-9CDEA8312AC9}"/>
            </c:ext>
          </c:extLst>
        </c:ser>
        <c:ser>
          <c:idx val="2"/>
          <c:order val="2"/>
          <c:tx>
            <c:strRef>
              <c:f>'Chart Data'!$A$8</c:f>
              <c:strCache>
                <c:ptCount val="1"/>
                <c:pt idx="0">
                  <c:v>Contribution margin %</c:v>
                </c:pt>
              </c:strCache>
            </c:strRef>
          </c:tx>
          <c:spPr>
            <a:ln w="28575" cap="rnd">
              <a:solidFill>
                <a:srgbClr val="E8772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87722"/>
              </a:solidFill>
              <a:ln w="9525">
                <a:solidFill>
                  <a:srgbClr val="E87722"/>
                </a:solidFill>
                <a:prstDash val="solid"/>
              </a:ln>
              <a:effectLst/>
            </c:spPr>
          </c:marker>
          <c:cat>
            <c:numRef>
              <c:f>'Chart Data'!$B$5:$G$5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Data'!$B$8:$G$8</c:f>
              <c:numCache>
                <c:formatCode>General</c:formatCode>
                <c:ptCount val="6"/>
                <c:pt idx="0">
                  <c:v>0.19842214147131021</c:v>
                </c:pt>
                <c:pt idx="1">
                  <c:v>0.22930244659671936</c:v>
                </c:pt>
                <c:pt idx="2">
                  <c:v>0.25131086937304203</c:v>
                </c:pt>
                <c:pt idx="3">
                  <c:v>0.26941546544364825</c:v>
                </c:pt>
                <c:pt idx="4">
                  <c:v>0.28530141654971897</c:v>
                </c:pt>
                <c:pt idx="5">
                  <c:v>0.29971232995526287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4B-B34B-A760-9CDEA8312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811520"/>
        <c:axId val="1143778032"/>
      </c:lineChart>
      <c:catAx>
        <c:axId val="1143811520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78032"/>
        <c:crosses val="autoZero"/>
        <c:auto val="1"/>
        <c:lblAlgn val="ctr"/>
        <c:lblOffset val="100"/>
        <c:noMultiLvlLbl val="0"/>
      </c:catAx>
      <c:valAx>
        <c:axId val="11437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81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Economics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Data'!$A$11</c:f>
              <c:strCache>
                <c:ptCount val="1"/>
                <c:pt idx="0">
                  <c:v>CAC</c:v>
                </c:pt>
              </c:strCache>
            </c:strRef>
          </c:tx>
          <c:spPr>
            <a:ln w="28575" cap="rnd">
              <a:solidFill>
                <a:srgbClr val="1E849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E8496"/>
              </a:solidFill>
              <a:ln w="9525">
                <a:solidFill>
                  <a:srgbClr val="1E8496"/>
                </a:solidFill>
                <a:prstDash val="solid"/>
              </a:ln>
              <a:effectLst/>
            </c:spPr>
          </c:marker>
          <c:cat>
            <c:numRef>
              <c:f>'Chart Data'!$B$10:$G$10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Data'!$B$11:$G$11</c:f>
              <c:numCache>
                <c:formatCode>General</c:formatCode>
                <c:ptCount val="6"/>
                <c:pt idx="0">
                  <c:v>38.333333333333336</c:v>
                </c:pt>
                <c:pt idx="1">
                  <c:v>40.250000000000007</c:v>
                </c:pt>
                <c:pt idx="2">
                  <c:v>42.262500000000003</c:v>
                </c:pt>
                <c:pt idx="3">
                  <c:v>44.375625000000007</c:v>
                </c:pt>
                <c:pt idx="4">
                  <c:v>46.594406249999999</c:v>
                </c:pt>
                <c:pt idx="5">
                  <c:v>48.924126562500007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0-E54B-990F-B2F2CF21D208}"/>
            </c:ext>
          </c:extLst>
        </c:ser>
        <c:ser>
          <c:idx val="1"/>
          <c:order val="1"/>
          <c:tx>
            <c:strRef>
              <c:f>'Chart Data'!$A$12</c:f>
              <c:strCache>
                <c:ptCount val="1"/>
                <c:pt idx="0">
                  <c:v>AOV</c:v>
                </c:pt>
              </c:strCache>
            </c:strRef>
          </c:tx>
          <c:spPr>
            <a:ln w="28575" cap="rnd">
              <a:solidFill>
                <a:srgbClr val="132E5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132E57"/>
              </a:solidFill>
              <a:ln w="9525">
                <a:solidFill>
                  <a:srgbClr val="132E57"/>
                </a:solidFill>
                <a:prstDash val="solid"/>
              </a:ln>
              <a:effectLst/>
            </c:spPr>
          </c:marker>
          <c:cat>
            <c:numRef>
              <c:f>'Chart Data'!$B$10:$G$10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Data'!$B$12:$G$12</c:f>
              <c:numCache>
                <c:formatCode>General</c:formatCode>
                <c:ptCount val="6"/>
                <c:pt idx="0">
                  <c:v>250</c:v>
                </c:pt>
                <c:pt idx="1">
                  <c:v>275</c:v>
                </c:pt>
                <c:pt idx="2">
                  <c:v>302.5</c:v>
                </c:pt>
                <c:pt idx="3">
                  <c:v>332.75</c:v>
                </c:pt>
                <c:pt idx="4">
                  <c:v>366.02500000000003</c:v>
                </c:pt>
                <c:pt idx="5">
                  <c:v>402.62750000000005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0-E54B-990F-B2F2CF21D208}"/>
            </c:ext>
          </c:extLst>
        </c:ser>
        <c:ser>
          <c:idx val="2"/>
          <c:order val="2"/>
          <c:tx>
            <c:strRef>
              <c:f>'Chart Data'!$A$13</c:f>
              <c:strCache>
                <c:ptCount val="1"/>
                <c:pt idx="0">
                  <c:v>Contribution margin / order</c:v>
                </c:pt>
              </c:strCache>
            </c:strRef>
          </c:tx>
          <c:spPr>
            <a:ln w="28575" cap="rnd">
              <a:solidFill>
                <a:srgbClr val="E8772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87722"/>
              </a:solidFill>
              <a:ln w="9525">
                <a:solidFill>
                  <a:srgbClr val="E87722"/>
                </a:solidFill>
                <a:prstDash val="solid"/>
              </a:ln>
              <a:effectLst/>
            </c:spPr>
          </c:marker>
          <c:cat>
            <c:numRef>
              <c:f>'Chart Data'!$B$10:$G$10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Data'!$B$13:$G$13</c:f>
              <c:numCache>
                <c:formatCode>General</c:formatCode>
                <c:ptCount val="6"/>
                <c:pt idx="0">
                  <c:v>47.75</c:v>
                </c:pt>
                <c:pt idx="1">
                  <c:v>55.56</c:v>
                </c:pt>
                <c:pt idx="2">
                  <c:v>64.300575000000009</c:v>
                </c:pt>
                <c:pt idx="3">
                  <c:v>74.076217875000026</c:v>
                </c:pt>
                <c:pt idx="4">
                  <c:v>85.002850999875051</c:v>
                </c:pt>
                <c:pt idx="5">
                  <c:v>97.209055687543938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10-E54B-990F-B2F2CF21D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531456"/>
        <c:axId val="1143948640"/>
      </c:lineChart>
      <c:catAx>
        <c:axId val="1143531456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48640"/>
        <c:crosses val="autoZero"/>
        <c:auto val="1"/>
        <c:lblAlgn val="ctr"/>
        <c:lblOffset val="100"/>
        <c:noMultiLvlLbl val="0"/>
      </c:catAx>
      <c:valAx>
        <c:axId val="114394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3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Data'!$A$16</c:f>
              <c:strCache>
                <c:ptCount val="1"/>
                <c:pt idx="0">
                  <c:v>Burn rate</c:v>
                </c:pt>
              </c:strCache>
            </c:strRef>
          </c:tx>
          <c:spPr>
            <a:solidFill>
              <a:srgbClr val="1E8496"/>
            </a:solidFill>
            <a:ln>
              <a:noFill/>
            </a:ln>
            <a:effectLst/>
          </c:spPr>
          <c:invertIfNegative val="0"/>
          <c:cat>
            <c:numRef>
              <c:f>'Chart Data'!$B$15:$G$15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Data'!$B$16:$G$16</c:f>
              <c:numCache>
                <c:formatCode>General</c:formatCode>
                <c:ptCount val="6"/>
                <c:pt idx="0">
                  <c:v>-412547.94520547945</c:v>
                </c:pt>
                <c:pt idx="1">
                  <c:v>-446370.34235873283</c:v>
                </c:pt>
                <c:pt idx="2">
                  <c:v>-297747.09373590659</c:v>
                </c:pt>
                <c:pt idx="3">
                  <c:v>-40976.20377243415</c:v>
                </c:pt>
                <c:pt idx="4">
                  <c:v>393955.59403268085</c:v>
                </c:pt>
                <c:pt idx="5">
                  <c:v>1121357.6289967657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E-A04F-B2ED-0494AD0A70A2}"/>
            </c:ext>
          </c:extLst>
        </c:ser>
        <c:ser>
          <c:idx val="1"/>
          <c:order val="1"/>
          <c:tx>
            <c:strRef>
              <c:f>'Chart Data'!$A$17</c:f>
              <c:strCache>
                <c:ptCount val="1"/>
                <c:pt idx="0">
                  <c:v>Cash balance</c:v>
                </c:pt>
              </c:strCache>
            </c:strRef>
          </c:tx>
          <c:spPr>
            <a:solidFill>
              <a:srgbClr val="132E57"/>
            </a:solidFill>
            <a:ln>
              <a:noFill/>
            </a:ln>
            <a:effectLst/>
          </c:spPr>
          <c:invertIfNegative val="0"/>
          <c:cat>
            <c:numRef>
              <c:f>'Chart Data'!$B$15:$G$15</c:f>
              <c:numCache>
                <c:formatCode>@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'Chart Data'!$B$17:$G$17</c:f>
              <c:numCache>
                <c:formatCode>General</c:formatCode>
                <c:ptCount val="6"/>
                <c:pt idx="0">
                  <c:v>87452.054794520547</c:v>
                </c:pt>
                <c:pt idx="1">
                  <c:v>-358918.28756421228</c:v>
                </c:pt>
                <c:pt idx="2">
                  <c:v>-656665.38130011887</c:v>
                </c:pt>
                <c:pt idx="3">
                  <c:v>-697641.58507255302</c:v>
                </c:pt>
                <c:pt idx="4">
                  <c:v>-303685.99103987217</c:v>
                </c:pt>
                <c:pt idx="5">
                  <c:v>817671.63795689354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E-A04F-B2ED-0494AD0A7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596576"/>
        <c:axId val="1143598288"/>
      </c:barChart>
      <c:catAx>
        <c:axId val="1143596576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98288"/>
        <c:crosses val="autoZero"/>
        <c:auto val="1"/>
        <c:lblAlgn val="ctr"/>
        <c:lblOffset val="100"/>
        <c:noMultiLvlLbl val="0"/>
      </c:catAx>
      <c:valAx>
        <c:axId val="11435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9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3</xdr:col>
      <xdr:colOff>1016000</xdr:colOff>
      <xdr:row>38</xdr:row>
      <xdr:rowOff>127000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CCBB6C7-CD5B-AA88-830D-EC2696CD4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9</xdr:col>
      <xdr:colOff>508000</xdr:colOff>
      <xdr:row>38</xdr:row>
      <xdr:rowOff>127000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9D69FB4-AA4B-D8A6-71CD-23E5B3209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3</xdr:col>
      <xdr:colOff>1016000</xdr:colOff>
      <xdr:row>56</xdr:row>
      <xdr:rowOff>127000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0FB0405-40A3-1B18-F373-D77F1DBC1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9</xdr:col>
      <xdr:colOff>508000</xdr:colOff>
      <xdr:row>58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D58F038-FBE7-679D-A092-96579B347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BC4916E-9088-CB48-9F7F-1B216A53DEE8}">
  <we:reference id="wa200009404" version="1.0.0.4" store="en-US" storeType="OMEX"/>
  <we:alternateReferences>
    <we:reference id="wa200009404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B937919-5148-D94C-9B80-190E2E4C81BA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6112177095091288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CB76-0489-FD4F-A2B9-29A33E100238}">
  <dimension ref="A1:B79"/>
  <sheetViews>
    <sheetView workbookViewId="0"/>
  </sheetViews>
  <sheetFormatPr baseColWidth="10" defaultRowHeight="15" x14ac:dyDescent="0.2"/>
  <cols>
    <col min="1" max="1" width="51.6640625" customWidth="1"/>
    <col min="2" max="2" width="18.33203125" customWidth="1"/>
    <col min="4" max="4" width="18.33203125" customWidth="1"/>
  </cols>
  <sheetData>
    <row r="1" spans="1:2" ht="20" x14ac:dyDescent="0.2">
      <c r="A1" s="53" t="s">
        <v>183</v>
      </c>
      <c r="B1" s="61"/>
    </row>
    <row r="2" spans="1:2" x14ac:dyDescent="0.2">
      <c r="A2" s="55"/>
      <c r="B2" s="62"/>
    </row>
    <row r="3" spans="1:2" ht="16" x14ac:dyDescent="0.2">
      <c r="A3" s="60" t="s">
        <v>162</v>
      </c>
      <c r="B3" s="63"/>
    </row>
    <row r="4" spans="1:2" x14ac:dyDescent="0.2">
      <c r="A4" s="59" t="s">
        <v>163</v>
      </c>
      <c r="B4" s="64"/>
    </row>
    <row r="5" spans="1:2" x14ac:dyDescent="0.2">
      <c r="A5" s="55" t="s">
        <v>28</v>
      </c>
      <c r="B5" s="65">
        <v>25000</v>
      </c>
    </row>
    <row r="6" spans="1:2" x14ac:dyDescent="0.2">
      <c r="A6" s="55" t="s">
        <v>27</v>
      </c>
      <c r="B6" s="66">
        <v>0.2</v>
      </c>
    </row>
    <row r="7" spans="1:2" x14ac:dyDescent="0.2">
      <c r="A7" s="55"/>
      <c r="B7" s="62"/>
    </row>
    <row r="8" spans="1:2" x14ac:dyDescent="0.2">
      <c r="A8" s="59" t="s">
        <v>164</v>
      </c>
      <c r="B8" s="64"/>
    </row>
    <row r="9" spans="1:2" x14ac:dyDescent="0.2">
      <c r="A9" s="55" t="s">
        <v>165</v>
      </c>
      <c r="B9" s="66">
        <v>0.5</v>
      </c>
    </row>
    <row r="10" spans="1:2" x14ac:dyDescent="0.2">
      <c r="A10" s="55" t="s">
        <v>166</v>
      </c>
      <c r="B10" s="66">
        <v>0.15</v>
      </c>
    </row>
    <row r="11" spans="1:2" x14ac:dyDescent="0.2">
      <c r="A11" s="55" t="s">
        <v>167</v>
      </c>
      <c r="B11" s="66">
        <v>0.35</v>
      </c>
    </row>
    <row r="12" spans="1:2" x14ac:dyDescent="0.2">
      <c r="A12" s="58" t="s">
        <v>168</v>
      </c>
      <c r="B12" s="118">
        <f>SUM(B9:B11)</f>
        <v>1</v>
      </c>
    </row>
    <row r="13" spans="1:2" x14ac:dyDescent="0.2">
      <c r="A13" s="55"/>
      <c r="B13" s="62"/>
    </row>
    <row r="14" spans="1:2" x14ac:dyDescent="0.2">
      <c r="A14" s="59" t="s">
        <v>169</v>
      </c>
      <c r="B14" s="64"/>
    </row>
    <row r="15" spans="1:2" x14ac:dyDescent="0.2">
      <c r="A15" s="55" t="s">
        <v>57</v>
      </c>
      <c r="B15" s="66">
        <v>0.15</v>
      </c>
    </row>
    <row r="16" spans="1:2" x14ac:dyDescent="0.2">
      <c r="A16" s="55" t="s">
        <v>58</v>
      </c>
      <c r="B16" s="66">
        <v>0.35</v>
      </c>
    </row>
    <row r="17" spans="1:2" x14ac:dyDescent="0.2">
      <c r="A17" s="55" t="s">
        <v>59</v>
      </c>
      <c r="B17" s="66">
        <v>0.5</v>
      </c>
    </row>
    <row r="18" spans="1:2" x14ac:dyDescent="0.2">
      <c r="A18" s="55"/>
      <c r="B18" s="62"/>
    </row>
    <row r="19" spans="1:2" ht="16" x14ac:dyDescent="0.2">
      <c r="A19" s="60" t="s">
        <v>170</v>
      </c>
      <c r="B19" s="63"/>
    </row>
    <row r="20" spans="1:2" x14ac:dyDescent="0.2">
      <c r="A20" s="55" t="s">
        <v>150</v>
      </c>
      <c r="B20" s="66">
        <v>0.25</v>
      </c>
    </row>
    <row r="21" spans="1:2" x14ac:dyDescent="0.2">
      <c r="A21" s="55" t="s">
        <v>151</v>
      </c>
      <c r="B21" s="117">
        <v>2</v>
      </c>
    </row>
    <row r="22" spans="1:2" x14ac:dyDescent="0.2">
      <c r="A22" s="55" t="s">
        <v>152</v>
      </c>
      <c r="B22" s="66">
        <v>0.05</v>
      </c>
    </row>
    <row r="23" spans="1:2" x14ac:dyDescent="0.2">
      <c r="A23" s="55"/>
      <c r="B23" s="62"/>
    </row>
    <row r="24" spans="1:2" ht="16" x14ac:dyDescent="0.2">
      <c r="A24" s="60" t="s">
        <v>171</v>
      </c>
      <c r="B24" s="63"/>
    </row>
    <row r="25" spans="1:2" x14ac:dyDescent="0.2">
      <c r="A25" s="55" t="s">
        <v>172</v>
      </c>
      <c r="B25" s="116">
        <v>250</v>
      </c>
    </row>
    <row r="26" spans="1:2" x14ac:dyDescent="0.2">
      <c r="A26" s="55" t="s">
        <v>62</v>
      </c>
      <c r="B26" s="66">
        <v>0.1</v>
      </c>
    </row>
    <row r="27" spans="1:2" x14ac:dyDescent="0.2">
      <c r="A27" s="55" t="s">
        <v>63</v>
      </c>
      <c r="B27" s="66">
        <v>0.5</v>
      </c>
    </row>
    <row r="28" spans="1:2" x14ac:dyDescent="0.2">
      <c r="A28" s="55" t="s">
        <v>156</v>
      </c>
      <c r="B28" s="66">
        <v>0.01</v>
      </c>
    </row>
    <row r="29" spans="1:2" x14ac:dyDescent="0.2">
      <c r="A29" s="55" t="s">
        <v>64</v>
      </c>
      <c r="B29" s="66">
        <v>0.1</v>
      </c>
    </row>
    <row r="30" spans="1:2" x14ac:dyDescent="0.2">
      <c r="A30" s="55" t="s">
        <v>153</v>
      </c>
      <c r="B30" s="66">
        <v>0.1</v>
      </c>
    </row>
    <row r="31" spans="1:2" x14ac:dyDescent="0.2">
      <c r="A31" s="55" t="s">
        <v>154</v>
      </c>
      <c r="B31" s="66">
        <v>2.9000000000000001E-2</v>
      </c>
    </row>
    <row r="32" spans="1:2" x14ac:dyDescent="0.2">
      <c r="A32" s="55" t="s">
        <v>155</v>
      </c>
      <c r="B32" s="66">
        <v>0</v>
      </c>
    </row>
    <row r="33" spans="1:2" x14ac:dyDescent="0.2">
      <c r="A33" s="55"/>
      <c r="B33" s="62"/>
    </row>
    <row r="34" spans="1:2" ht="16" x14ac:dyDescent="0.2">
      <c r="A34" s="60" t="s">
        <v>173</v>
      </c>
      <c r="B34" s="63"/>
    </row>
    <row r="35" spans="1:2" x14ac:dyDescent="0.2">
      <c r="A35" s="55" t="s">
        <v>174</v>
      </c>
      <c r="B35" s="115">
        <v>5.75</v>
      </c>
    </row>
    <row r="36" spans="1:2" x14ac:dyDescent="0.2">
      <c r="A36" s="55" t="s">
        <v>66</v>
      </c>
      <c r="B36" s="66">
        <v>0.05</v>
      </c>
    </row>
    <row r="37" spans="1:2" x14ac:dyDescent="0.2">
      <c r="A37" s="55"/>
      <c r="B37" s="62"/>
    </row>
    <row r="38" spans="1:2" ht="16" x14ac:dyDescent="0.2">
      <c r="A38" s="60" t="s">
        <v>175</v>
      </c>
      <c r="B38" s="63"/>
    </row>
    <row r="39" spans="1:2" x14ac:dyDescent="0.2">
      <c r="A39" s="55" t="s">
        <v>31</v>
      </c>
      <c r="B39" s="115">
        <v>12</v>
      </c>
    </row>
    <row r="40" spans="1:2" x14ac:dyDescent="0.2">
      <c r="A40" s="55" t="s">
        <v>68</v>
      </c>
      <c r="B40" s="66">
        <v>0.02</v>
      </c>
    </row>
    <row r="41" spans="1:2" x14ac:dyDescent="0.2">
      <c r="A41" s="55" t="s">
        <v>32</v>
      </c>
      <c r="B41" s="115">
        <v>5</v>
      </c>
    </row>
    <row r="42" spans="1:2" x14ac:dyDescent="0.2">
      <c r="A42" s="55" t="s">
        <v>158</v>
      </c>
      <c r="B42" s="115">
        <v>1.5</v>
      </c>
    </row>
    <row r="43" spans="1:2" x14ac:dyDescent="0.2">
      <c r="A43" s="55" t="s">
        <v>159</v>
      </c>
      <c r="B43" s="115">
        <v>1.5</v>
      </c>
    </row>
    <row r="44" spans="1:2" x14ac:dyDescent="0.2">
      <c r="A44" s="55"/>
      <c r="B44" s="62"/>
    </row>
    <row r="45" spans="1:2" ht="16" x14ac:dyDescent="0.2">
      <c r="A45" s="60" t="s">
        <v>176</v>
      </c>
      <c r="B45" s="63"/>
    </row>
    <row r="46" spans="1:2" x14ac:dyDescent="0.2">
      <c r="A46" s="55" t="s">
        <v>37</v>
      </c>
      <c r="B46" s="116">
        <v>150000</v>
      </c>
    </row>
    <row r="47" spans="1:2" x14ac:dyDescent="0.2">
      <c r="A47" s="55" t="s">
        <v>38</v>
      </c>
      <c r="B47" s="65">
        <v>2027</v>
      </c>
    </row>
    <row r="48" spans="1:2" x14ac:dyDescent="0.2">
      <c r="A48" s="55" t="s">
        <v>73</v>
      </c>
      <c r="B48" s="66">
        <v>0.05</v>
      </c>
    </row>
    <row r="49" spans="1:2" x14ac:dyDescent="0.2">
      <c r="A49" s="55"/>
      <c r="B49" s="62"/>
    </row>
    <row r="50" spans="1:2" ht="16" x14ac:dyDescent="0.2">
      <c r="A50" s="60" t="s">
        <v>177</v>
      </c>
      <c r="B50" s="63"/>
    </row>
    <row r="51" spans="1:2" x14ac:dyDescent="0.2">
      <c r="A51" s="55" t="s">
        <v>35</v>
      </c>
      <c r="B51" s="116">
        <v>100000</v>
      </c>
    </row>
    <row r="52" spans="1:2" x14ac:dyDescent="0.2">
      <c r="A52" s="55" t="s">
        <v>34</v>
      </c>
      <c r="B52" s="65">
        <v>2027</v>
      </c>
    </row>
    <row r="53" spans="1:2" x14ac:dyDescent="0.2">
      <c r="A53" s="55" t="s">
        <v>74</v>
      </c>
      <c r="B53" s="66">
        <v>0.05</v>
      </c>
    </row>
    <row r="54" spans="1:2" x14ac:dyDescent="0.2">
      <c r="A54" s="55" t="s">
        <v>75</v>
      </c>
      <c r="B54" s="116">
        <v>100000</v>
      </c>
    </row>
    <row r="55" spans="1:2" x14ac:dyDescent="0.2">
      <c r="A55" s="55" t="s">
        <v>160</v>
      </c>
      <c r="B55" s="65">
        <v>6</v>
      </c>
    </row>
    <row r="56" spans="1:2" x14ac:dyDescent="0.2">
      <c r="A56" s="55" t="s">
        <v>76</v>
      </c>
      <c r="B56" s="116">
        <v>100000</v>
      </c>
    </row>
    <row r="57" spans="1:2" x14ac:dyDescent="0.2">
      <c r="A57" s="55" t="s">
        <v>77</v>
      </c>
      <c r="B57" s="66">
        <v>0.05</v>
      </c>
    </row>
    <row r="58" spans="1:2" x14ac:dyDescent="0.2">
      <c r="A58" s="55" t="s">
        <v>78</v>
      </c>
      <c r="B58" s="116">
        <v>100000</v>
      </c>
    </row>
    <row r="59" spans="1:2" x14ac:dyDescent="0.2">
      <c r="A59" s="55" t="s">
        <v>161</v>
      </c>
      <c r="B59" s="115">
        <v>250</v>
      </c>
    </row>
    <row r="60" spans="1:2" x14ac:dyDescent="0.2">
      <c r="A60" s="55"/>
      <c r="B60" s="62"/>
    </row>
    <row r="61" spans="1:2" ht="16" x14ac:dyDescent="0.2">
      <c r="A61" s="60" t="s">
        <v>178</v>
      </c>
      <c r="B61" s="63"/>
    </row>
    <row r="62" spans="1:2" x14ac:dyDescent="0.2">
      <c r="A62" s="55" t="s">
        <v>86</v>
      </c>
      <c r="B62" s="65">
        <v>5</v>
      </c>
    </row>
    <row r="63" spans="1:2" x14ac:dyDescent="0.2">
      <c r="A63" s="55" t="s">
        <v>87</v>
      </c>
      <c r="B63" s="65">
        <v>120</v>
      </c>
    </row>
    <row r="64" spans="1:2" x14ac:dyDescent="0.2">
      <c r="A64" s="55" t="s">
        <v>179</v>
      </c>
      <c r="B64" s="66">
        <v>0.1</v>
      </c>
    </row>
    <row r="65" spans="1:2" x14ac:dyDescent="0.2">
      <c r="A65" s="55" t="s">
        <v>91</v>
      </c>
      <c r="B65" s="65">
        <v>30</v>
      </c>
    </row>
    <row r="66" spans="1:2" x14ac:dyDescent="0.2">
      <c r="A66" s="55" t="s">
        <v>42</v>
      </c>
      <c r="B66" s="138">
        <v>365</v>
      </c>
    </row>
    <row r="67" spans="1:2" ht="16" x14ac:dyDescent="0.2">
      <c r="A67" s="60" t="s">
        <v>180</v>
      </c>
      <c r="B67" s="63"/>
    </row>
    <row r="68" spans="1:2" x14ac:dyDescent="0.2">
      <c r="A68" s="55" t="s">
        <v>40</v>
      </c>
      <c r="B68" s="66">
        <v>0.1</v>
      </c>
    </row>
    <row r="69" spans="1:2" x14ac:dyDescent="0.2">
      <c r="A69" s="55" t="s">
        <v>92</v>
      </c>
      <c r="B69" s="65">
        <v>5</v>
      </c>
    </row>
    <row r="70" spans="1:2" x14ac:dyDescent="0.2">
      <c r="A70" s="55"/>
      <c r="B70" s="62"/>
    </row>
    <row r="71" spans="1:2" ht="16" x14ac:dyDescent="0.2">
      <c r="A71" s="60" t="s">
        <v>181</v>
      </c>
      <c r="B71" s="63"/>
    </row>
    <row r="72" spans="1:2" x14ac:dyDescent="0.2">
      <c r="A72" s="55" t="s">
        <v>43</v>
      </c>
      <c r="B72" s="116">
        <v>0</v>
      </c>
    </row>
    <row r="73" spans="1:2" x14ac:dyDescent="0.2">
      <c r="A73" s="55" t="s">
        <v>44</v>
      </c>
      <c r="B73" s="139">
        <v>2026</v>
      </c>
    </row>
    <row r="74" spans="1:2" x14ac:dyDescent="0.2">
      <c r="A74" s="55" t="s">
        <v>94</v>
      </c>
      <c r="B74" s="66">
        <v>0.03</v>
      </c>
    </row>
    <row r="75" spans="1:2" x14ac:dyDescent="0.2">
      <c r="A75" s="55" t="s">
        <v>45</v>
      </c>
      <c r="B75" s="65">
        <v>5</v>
      </c>
    </row>
    <row r="76" spans="1:2" x14ac:dyDescent="0.2">
      <c r="A76" s="55" t="s">
        <v>41</v>
      </c>
      <c r="B76" s="116">
        <v>500000</v>
      </c>
    </row>
    <row r="77" spans="1:2" x14ac:dyDescent="0.2">
      <c r="A77" s="55"/>
      <c r="B77" s="62"/>
    </row>
    <row r="78" spans="1:2" ht="16" x14ac:dyDescent="0.2">
      <c r="A78" s="60" t="s">
        <v>182</v>
      </c>
      <c r="B78" s="63"/>
    </row>
    <row r="79" spans="1:2" x14ac:dyDescent="0.2">
      <c r="A79" s="55" t="s">
        <v>96</v>
      </c>
      <c r="B79" s="66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F7E2-ACF4-CC4E-9496-85B30E09203B}">
  <dimension ref="A1:N293"/>
  <sheetViews>
    <sheetView showGridLines="0" zoomScaleNormal="100" workbookViewId="0">
      <pane ySplit="3" topLeftCell="A4" activePane="bottomLeft" state="frozen"/>
      <selection activeCell="E190" sqref="E190"/>
      <selection pane="bottomLeft" activeCell="F2" sqref="F2"/>
    </sheetView>
  </sheetViews>
  <sheetFormatPr baseColWidth="10" defaultColWidth="9.1640625" defaultRowHeight="14" outlineLevelRow="1" x14ac:dyDescent="0.15"/>
  <cols>
    <col min="1" max="1" width="41.6640625" style="3" customWidth="1"/>
    <col min="2" max="3" width="2.5" style="3" customWidth="1"/>
    <col min="4" max="10" width="18.33203125" style="3" customWidth="1"/>
    <col min="11" max="11" width="13.83203125" style="3" customWidth="1"/>
    <col min="12" max="12" width="14.5" style="3" customWidth="1"/>
    <col min="13" max="16384" width="9.1640625" style="3"/>
  </cols>
  <sheetData>
    <row r="1" spans="1:14" ht="16.5" customHeight="1" x14ac:dyDescent="0.2">
      <c r="A1" s="1"/>
      <c r="B1" s="1"/>
      <c r="C1" s="1"/>
      <c r="D1" s="1"/>
      <c r="E1" s="2" t="s">
        <v>23</v>
      </c>
      <c r="F1" s="1"/>
      <c r="G1" s="1"/>
      <c r="H1" s="1"/>
      <c r="I1" s="1"/>
      <c r="J1" s="1"/>
      <c r="K1"/>
      <c r="L1"/>
      <c r="M1"/>
      <c r="N1"/>
    </row>
    <row r="2" spans="1:14" ht="16.5" customHeight="1" x14ac:dyDescent="0.2">
      <c r="A2" s="4"/>
      <c r="B2" s="4"/>
      <c r="C2" s="4"/>
      <c r="D2" s="5"/>
      <c r="E2" s="6">
        <v>2026</v>
      </c>
      <c r="F2" s="6">
        <f>+E2+1</f>
        <v>2027</v>
      </c>
      <c r="G2" s="6">
        <f t="shared" ref="G2:J2" si="0">+F2+1</f>
        <v>2028</v>
      </c>
      <c r="H2" s="6">
        <f t="shared" si="0"/>
        <v>2029</v>
      </c>
      <c r="I2" s="6">
        <f t="shared" si="0"/>
        <v>2030</v>
      </c>
      <c r="J2" s="6">
        <f t="shared" si="0"/>
        <v>2031</v>
      </c>
      <c r="K2"/>
      <c r="L2"/>
      <c r="M2"/>
      <c r="N2"/>
    </row>
    <row r="3" spans="1:14" s="10" customFormat="1" ht="15" x14ac:dyDescent="0.2">
      <c r="A3" s="133" t="s">
        <v>214</v>
      </c>
      <c r="B3" s="7"/>
      <c r="C3" s="8"/>
      <c r="D3" s="8"/>
      <c r="E3" s="9" t="str">
        <f t="shared" ref="E3:J3" si="1">IFERROR(IF(ABS(E194)&gt;1,"ERROR","OK"),"OK")</f>
        <v>OK</v>
      </c>
      <c r="F3" s="9" t="str">
        <f t="shared" si="1"/>
        <v>OK</v>
      </c>
      <c r="G3" s="9" t="str">
        <f t="shared" si="1"/>
        <v>OK</v>
      </c>
      <c r="H3" s="9" t="str">
        <f t="shared" si="1"/>
        <v>OK</v>
      </c>
      <c r="I3" s="9" t="str">
        <f t="shared" si="1"/>
        <v>OK</v>
      </c>
      <c r="J3" s="9" t="str">
        <f t="shared" si="1"/>
        <v>OK</v>
      </c>
      <c r="K3"/>
      <c r="L3"/>
      <c r="M3"/>
      <c r="N3"/>
    </row>
    <row r="4" spans="1:14" ht="15" x14ac:dyDescent="0.2">
      <c r="K4"/>
      <c r="L4"/>
      <c r="M4"/>
      <c r="N4"/>
    </row>
    <row r="5" spans="1:14" s="12" customFormat="1" ht="19" customHeight="1" x14ac:dyDescent="0.2">
      <c r="A5" s="123" t="s">
        <v>3</v>
      </c>
      <c r="B5" s="11"/>
      <c r="C5" s="11"/>
      <c r="D5" s="11"/>
      <c r="E5" s="11"/>
      <c r="F5" s="11"/>
      <c r="G5" s="11"/>
      <c r="H5" s="11"/>
      <c r="I5" s="11"/>
      <c r="J5" s="11"/>
      <c r="K5"/>
      <c r="L5"/>
      <c r="M5"/>
      <c r="N5"/>
    </row>
    <row r="6" spans="1:14" ht="15" outlineLevel="1" x14ac:dyDescent="0.2">
      <c r="K6"/>
      <c r="L6"/>
      <c r="M6"/>
      <c r="N6"/>
    </row>
    <row r="7" spans="1:14" ht="15" outlineLevel="1" x14ac:dyDescent="0.2">
      <c r="A7" s="124" t="s">
        <v>29</v>
      </c>
      <c r="B7" s="13"/>
      <c r="C7" s="13"/>
      <c r="D7" s="13"/>
      <c r="E7" s="101"/>
      <c r="F7" s="101"/>
      <c r="G7" s="101"/>
      <c r="H7" s="101"/>
      <c r="I7" s="101"/>
      <c r="J7" s="101"/>
      <c r="K7"/>
      <c r="L7"/>
      <c r="M7"/>
      <c r="N7"/>
    </row>
    <row r="8" spans="1:14" ht="15" outlineLevel="1" x14ac:dyDescent="0.2">
      <c r="A8" s="125" t="s">
        <v>52</v>
      </c>
      <c r="K8"/>
      <c r="L8"/>
      <c r="M8"/>
      <c r="N8"/>
    </row>
    <row r="9" spans="1:14" ht="15" outlineLevel="1" x14ac:dyDescent="0.2">
      <c r="A9" s="43" t="s">
        <v>28</v>
      </c>
      <c r="B9" s="31"/>
      <c r="C9" s="30"/>
      <c r="D9" s="74">
        <f>Assumptions!B5</f>
        <v>25000</v>
      </c>
      <c r="E9" s="72"/>
      <c r="F9" s="72"/>
      <c r="G9" s="72"/>
      <c r="H9" s="72"/>
      <c r="I9" s="72"/>
      <c r="J9" s="72"/>
      <c r="K9"/>
      <c r="L9"/>
      <c r="M9"/>
      <c r="N9"/>
    </row>
    <row r="10" spans="1:14" ht="15" outlineLevel="1" x14ac:dyDescent="0.2">
      <c r="A10" s="43" t="s">
        <v>27</v>
      </c>
      <c r="B10" s="31"/>
      <c r="C10" s="30"/>
      <c r="D10" s="75">
        <f>Assumptions!B6</f>
        <v>0.2</v>
      </c>
      <c r="E10" s="72"/>
      <c r="F10" s="72"/>
      <c r="G10" s="72"/>
      <c r="H10" s="72"/>
      <c r="I10" s="72"/>
      <c r="J10" s="72"/>
      <c r="K10"/>
      <c r="L10"/>
      <c r="M10"/>
      <c r="N10"/>
    </row>
    <row r="11" spans="1:14" ht="15" outlineLevel="1" x14ac:dyDescent="0.2">
      <c r="D11" s="96"/>
      <c r="E11" s="72"/>
      <c r="F11" s="72"/>
      <c r="G11" s="72"/>
      <c r="H11" s="72"/>
      <c r="I11" s="72"/>
      <c r="J11" s="72"/>
      <c r="K11"/>
      <c r="L11"/>
      <c r="M11"/>
      <c r="N11"/>
    </row>
    <row r="12" spans="1:14" ht="15" outlineLevel="1" x14ac:dyDescent="0.2">
      <c r="A12" s="125" t="s">
        <v>194</v>
      </c>
      <c r="D12" s="14"/>
      <c r="K12"/>
      <c r="L12"/>
      <c r="M12"/>
      <c r="N12"/>
    </row>
    <row r="13" spans="1:14" ht="15" outlineLevel="1" x14ac:dyDescent="0.2">
      <c r="A13" s="43" t="s">
        <v>165</v>
      </c>
      <c r="B13" s="31"/>
      <c r="C13" s="30"/>
      <c r="D13" s="75">
        <f>Assumptions!B9</f>
        <v>0.5</v>
      </c>
      <c r="E13" s="72"/>
      <c r="F13" s="72"/>
      <c r="G13" s="72"/>
      <c r="H13" s="72"/>
      <c r="I13" s="72"/>
      <c r="J13" s="72"/>
      <c r="K13"/>
      <c r="L13"/>
      <c r="M13"/>
      <c r="N13"/>
    </row>
    <row r="14" spans="1:14" ht="15" outlineLevel="1" x14ac:dyDescent="0.2">
      <c r="A14" s="43" t="s">
        <v>166</v>
      </c>
      <c r="B14" s="31"/>
      <c r="C14" s="30"/>
      <c r="D14" s="75">
        <f>Assumptions!B10</f>
        <v>0.15</v>
      </c>
      <c r="E14" s="72"/>
      <c r="F14" s="72"/>
      <c r="G14" s="72"/>
      <c r="H14" s="72"/>
      <c r="I14" s="72"/>
      <c r="J14" s="72"/>
      <c r="K14"/>
      <c r="L14"/>
      <c r="M14"/>
      <c r="N14"/>
    </row>
    <row r="15" spans="1:14" ht="15" hidden="1" outlineLevel="1" x14ac:dyDescent="0.2">
      <c r="A15" s="43" t="s">
        <v>167</v>
      </c>
      <c r="B15" s="31"/>
      <c r="C15" s="30"/>
      <c r="D15" s="75">
        <f>Assumptions!B11</f>
        <v>0.35</v>
      </c>
      <c r="E15" s="72"/>
      <c r="F15" s="72"/>
      <c r="G15" s="72"/>
      <c r="H15" s="72"/>
      <c r="I15" s="72"/>
      <c r="J15" s="72"/>
      <c r="K15"/>
      <c r="L15"/>
      <c r="M15"/>
      <c r="N15"/>
    </row>
    <row r="16" spans="1:14" ht="15" hidden="1" outlineLevel="1" x14ac:dyDescent="0.2">
      <c r="A16" s="135" t="s">
        <v>189</v>
      </c>
      <c r="B16" s="99"/>
      <c r="C16" s="99"/>
      <c r="D16" s="100">
        <f>SUM(D13:D15)</f>
        <v>1</v>
      </c>
      <c r="E16" s="15"/>
      <c r="F16" s="15"/>
      <c r="G16" s="15"/>
      <c r="H16" s="15"/>
      <c r="I16" s="15"/>
      <c r="J16" s="15"/>
      <c r="K16"/>
      <c r="L16"/>
      <c r="M16"/>
      <c r="N16"/>
    </row>
    <row r="17" spans="1:14" ht="15" hidden="1" outlineLevel="1" x14ac:dyDescent="0.2">
      <c r="K17"/>
      <c r="L17"/>
      <c r="M17"/>
      <c r="N17"/>
    </row>
    <row r="18" spans="1:14" ht="15" outlineLevel="1" x14ac:dyDescent="0.2">
      <c r="A18" s="125" t="s">
        <v>61</v>
      </c>
      <c r="K18"/>
      <c r="L18"/>
      <c r="M18"/>
      <c r="N18"/>
    </row>
    <row r="19" spans="1:14" ht="15" outlineLevel="1" x14ac:dyDescent="0.2">
      <c r="A19" s="43" t="s">
        <v>53</v>
      </c>
      <c r="B19" s="30"/>
      <c r="E19" s="3">
        <f>$D$9*$D13</f>
        <v>12500</v>
      </c>
      <c r="F19" s="3">
        <f>E19*(1+$D$10)</f>
        <v>15000</v>
      </c>
      <c r="G19" s="3">
        <f t="shared" ref="G19:J22" si="2">F19*(1+$D$10)</f>
        <v>18000</v>
      </c>
      <c r="H19" s="3">
        <f t="shared" si="2"/>
        <v>21600</v>
      </c>
      <c r="I19" s="3">
        <f t="shared" si="2"/>
        <v>25920</v>
      </c>
      <c r="J19" s="3">
        <f t="shared" si="2"/>
        <v>31104</v>
      </c>
      <c r="K19"/>
      <c r="L19"/>
      <c r="M19"/>
      <c r="N19"/>
    </row>
    <row r="20" spans="1:14" ht="15" outlineLevel="1" x14ac:dyDescent="0.2">
      <c r="A20" s="43" t="s">
        <v>54</v>
      </c>
      <c r="B20" s="30"/>
      <c r="E20" s="3">
        <f>$D$9*$D14</f>
        <v>3750</v>
      </c>
      <c r="F20" s="3">
        <f>E20*(1+$D$10)</f>
        <v>4500</v>
      </c>
      <c r="G20" s="3">
        <f t="shared" si="2"/>
        <v>5400</v>
      </c>
      <c r="H20" s="3">
        <f t="shared" si="2"/>
        <v>6480</v>
      </c>
      <c r="I20" s="3">
        <f t="shared" si="2"/>
        <v>7776</v>
      </c>
      <c r="J20" s="3">
        <f t="shared" si="2"/>
        <v>9331.1999999999989</v>
      </c>
      <c r="K20"/>
      <c r="L20"/>
      <c r="M20"/>
      <c r="N20"/>
    </row>
    <row r="21" spans="1:14" ht="15" outlineLevel="1" x14ac:dyDescent="0.2">
      <c r="A21" s="43" t="s">
        <v>55</v>
      </c>
      <c r="B21" s="30"/>
      <c r="E21" s="3">
        <f>$D$9*$D15</f>
        <v>8750</v>
      </c>
      <c r="F21" s="3">
        <f>E21*(1+$D$10)</f>
        <v>10500</v>
      </c>
      <c r="G21" s="3">
        <f t="shared" si="2"/>
        <v>12600</v>
      </c>
      <c r="H21" s="3">
        <f t="shared" si="2"/>
        <v>15120</v>
      </c>
      <c r="I21" s="3">
        <f t="shared" si="2"/>
        <v>18144</v>
      </c>
      <c r="J21" s="3">
        <f t="shared" si="2"/>
        <v>21772.799999999999</v>
      </c>
      <c r="K21"/>
      <c r="L21"/>
      <c r="M21"/>
      <c r="N21"/>
    </row>
    <row r="22" spans="1:14" ht="15" outlineLevel="1" x14ac:dyDescent="0.2">
      <c r="A22" s="128" t="s">
        <v>56</v>
      </c>
      <c r="B22" s="19"/>
      <c r="C22" s="19"/>
      <c r="D22" s="19"/>
      <c r="E22" s="15">
        <f>D9</f>
        <v>25000</v>
      </c>
      <c r="F22" s="15">
        <f>E22*(1+$D$10)</f>
        <v>30000</v>
      </c>
      <c r="G22" s="15">
        <f>F22*(1+$D$10)</f>
        <v>36000</v>
      </c>
      <c r="H22" s="15">
        <f t="shared" si="2"/>
        <v>43200</v>
      </c>
      <c r="I22" s="15">
        <f t="shared" si="2"/>
        <v>51840</v>
      </c>
      <c r="J22" s="15">
        <f t="shared" si="2"/>
        <v>62208</v>
      </c>
      <c r="K22"/>
      <c r="L22"/>
      <c r="M22"/>
      <c r="N22"/>
    </row>
    <row r="23" spans="1:14" ht="15" outlineLevel="1" x14ac:dyDescent="0.2">
      <c r="K23"/>
      <c r="L23"/>
      <c r="M23"/>
      <c r="N23"/>
    </row>
    <row r="24" spans="1:14" ht="15" outlineLevel="1" x14ac:dyDescent="0.2">
      <c r="A24" s="124" t="s">
        <v>0</v>
      </c>
      <c r="B24" s="13"/>
      <c r="C24" s="13"/>
      <c r="D24" s="13"/>
      <c r="E24" s="101"/>
      <c r="F24" s="101"/>
      <c r="G24" s="101"/>
      <c r="H24" s="101"/>
      <c r="I24" s="101"/>
      <c r="J24" s="101"/>
      <c r="K24"/>
      <c r="L24"/>
      <c r="M24"/>
      <c r="N24"/>
    </row>
    <row r="25" spans="1:14" ht="15" outlineLevel="1" x14ac:dyDescent="0.2">
      <c r="A25" s="125" t="s">
        <v>36</v>
      </c>
      <c r="K25"/>
      <c r="L25"/>
      <c r="M25"/>
      <c r="N25"/>
    </row>
    <row r="26" spans="1:14" ht="15" outlineLevel="1" x14ac:dyDescent="0.2">
      <c r="A26" s="43" t="s">
        <v>57</v>
      </c>
      <c r="B26" s="32"/>
      <c r="C26" s="32"/>
      <c r="D26" s="75">
        <f>Assumptions!B15</f>
        <v>0.15</v>
      </c>
      <c r="E26" s="90"/>
      <c r="F26" s="90"/>
      <c r="G26" s="90"/>
      <c r="H26" s="90"/>
      <c r="I26" s="90"/>
      <c r="J26" s="90"/>
      <c r="K26"/>
      <c r="L26"/>
      <c r="M26"/>
      <c r="N26"/>
    </row>
    <row r="27" spans="1:14" ht="15" outlineLevel="1" x14ac:dyDescent="0.2">
      <c r="A27" s="43" t="s">
        <v>58</v>
      </c>
      <c r="B27" s="32"/>
      <c r="C27" s="32"/>
      <c r="D27" s="75">
        <f>Assumptions!B16</f>
        <v>0.35</v>
      </c>
      <c r="E27" s="90"/>
      <c r="F27" s="90"/>
      <c r="G27" s="90"/>
      <c r="H27" s="90"/>
      <c r="I27" s="90"/>
      <c r="J27" s="90"/>
      <c r="K27"/>
      <c r="L27"/>
      <c r="M27"/>
      <c r="N27"/>
    </row>
    <row r="28" spans="1:14" ht="15" outlineLevel="1" x14ac:dyDescent="0.2">
      <c r="A28" s="43" t="s">
        <v>59</v>
      </c>
      <c r="B28" s="32"/>
      <c r="C28" s="32"/>
      <c r="D28" s="76">
        <f>Assumptions!B17</f>
        <v>0.5</v>
      </c>
      <c r="E28" s="91"/>
      <c r="F28" s="91"/>
      <c r="G28" s="91"/>
      <c r="H28" s="91"/>
      <c r="I28" s="91"/>
      <c r="J28" s="91"/>
      <c r="K28"/>
      <c r="L28"/>
      <c r="M28"/>
      <c r="N28"/>
    </row>
    <row r="29" spans="1:14" ht="15" outlineLevel="1" x14ac:dyDescent="0.2">
      <c r="A29" s="43" t="s">
        <v>150</v>
      </c>
      <c r="B29" s="32"/>
      <c r="C29" s="70"/>
      <c r="D29" s="77">
        <f>Assumptions!B20</f>
        <v>0.25</v>
      </c>
      <c r="E29" s="91"/>
      <c r="F29" s="91"/>
      <c r="G29" s="91"/>
      <c r="H29" s="91"/>
      <c r="I29" s="91"/>
      <c r="J29" s="91"/>
      <c r="K29"/>
      <c r="L29"/>
      <c r="M29"/>
      <c r="N29"/>
    </row>
    <row r="30" spans="1:14" ht="15" outlineLevel="1" x14ac:dyDescent="0.2">
      <c r="A30" s="43" t="s">
        <v>151</v>
      </c>
      <c r="B30" s="32"/>
      <c r="C30" s="70"/>
      <c r="D30" s="78">
        <f>Assumptions!B21</f>
        <v>2</v>
      </c>
      <c r="E30" s="91"/>
      <c r="F30" s="91"/>
      <c r="G30" s="91"/>
      <c r="H30" s="91"/>
      <c r="I30" s="91"/>
      <c r="J30" s="91"/>
      <c r="K30"/>
      <c r="L30"/>
      <c r="M30"/>
      <c r="N30"/>
    </row>
    <row r="31" spans="1:14" ht="15" outlineLevel="1" x14ac:dyDescent="0.2">
      <c r="A31" s="43" t="s">
        <v>152</v>
      </c>
      <c r="B31" s="32"/>
      <c r="C31" s="70"/>
      <c r="D31" s="77">
        <f>Assumptions!B22</f>
        <v>0.05</v>
      </c>
      <c r="E31" s="91"/>
      <c r="F31" s="91"/>
      <c r="G31" s="91"/>
      <c r="H31" s="91"/>
      <c r="I31" s="91"/>
      <c r="J31" s="91"/>
      <c r="K31"/>
      <c r="L31"/>
      <c r="M31"/>
      <c r="N31"/>
    </row>
    <row r="32" spans="1:14" ht="15" outlineLevel="1" x14ac:dyDescent="0.2">
      <c r="K32"/>
      <c r="L32"/>
      <c r="M32"/>
      <c r="N32"/>
    </row>
    <row r="33" spans="1:14" ht="15" outlineLevel="1" x14ac:dyDescent="0.2">
      <c r="A33" s="125" t="s">
        <v>60</v>
      </c>
      <c r="K33"/>
      <c r="L33"/>
      <c r="M33"/>
      <c r="N33"/>
    </row>
    <row r="34" spans="1:14" ht="15" outlineLevel="1" x14ac:dyDescent="0.2">
      <c r="A34" s="43" t="s">
        <v>53</v>
      </c>
      <c r="B34" s="30"/>
      <c r="E34" s="3">
        <f t="shared" ref="E34:J36" si="3">E19*$D26</f>
        <v>1875</v>
      </c>
      <c r="F34" s="3">
        <f t="shared" si="3"/>
        <v>2250</v>
      </c>
      <c r="G34" s="3">
        <f t="shared" si="3"/>
        <v>2700</v>
      </c>
      <c r="H34" s="3">
        <f t="shared" si="3"/>
        <v>3240</v>
      </c>
      <c r="I34" s="3">
        <f t="shared" si="3"/>
        <v>3888</v>
      </c>
      <c r="J34" s="3">
        <f t="shared" si="3"/>
        <v>4665.5999999999995</v>
      </c>
      <c r="K34"/>
      <c r="L34"/>
      <c r="M34"/>
      <c r="N34"/>
    </row>
    <row r="35" spans="1:14" ht="15" outlineLevel="1" x14ac:dyDescent="0.2">
      <c r="A35" s="43" t="s">
        <v>54</v>
      </c>
      <c r="B35" s="30"/>
      <c r="E35" s="3">
        <f t="shared" si="3"/>
        <v>1312.5</v>
      </c>
      <c r="F35" s="3">
        <f t="shared" si="3"/>
        <v>1575</v>
      </c>
      <c r="G35" s="3">
        <f t="shared" si="3"/>
        <v>1889.9999999999998</v>
      </c>
      <c r="H35" s="3">
        <f t="shared" si="3"/>
        <v>2268</v>
      </c>
      <c r="I35" s="3">
        <f t="shared" si="3"/>
        <v>2721.6</v>
      </c>
      <c r="J35" s="3">
        <f t="shared" si="3"/>
        <v>3265.9199999999996</v>
      </c>
      <c r="K35"/>
      <c r="L35"/>
      <c r="M35"/>
      <c r="N35"/>
    </row>
    <row r="36" spans="1:14" ht="15" outlineLevel="1" x14ac:dyDescent="0.2">
      <c r="A36" s="43" t="s">
        <v>55</v>
      </c>
      <c r="B36" s="30"/>
      <c r="E36" s="3">
        <f t="shared" si="3"/>
        <v>4375</v>
      </c>
      <c r="F36" s="3">
        <f t="shared" si="3"/>
        <v>5250</v>
      </c>
      <c r="G36" s="3">
        <f t="shared" si="3"/>
        <v>6300</v>
      </c>
      <c r="H36" s="3">
        <f t="shared" si="3"/>
        <v>7560</v>
      </c>
      <c r="I36" s="3">
        <f t="shared" si="3"/>
        <v>9072</v>
      </c>
      <c r="J36" s="3">
        <f t="shared" si="3"/>
        <v>10886.4</v>
      </c>
      <c r="K36"/>
      <c r="L36"/>
      <c r="M36"/>
      <c r="N36"/>
    </row>
    <row r="37" spans="1:14" ht="15" outlineLevel="1" x14ac:dyDescent="0.2">
      <c r="A37" s="128" t="s">
        <v>206</v>
      </c>
      <c r="B37" s="15"/>
      <c r="C37" s="70"/>
      <c r="D37" s="15"/>
      <c r="E37" s="15">
        <f t="shared" ref="E37:J37" si="4">SUM(E34:E36)</f>
        <v>7562.5</v>
      </c>
      <c r="F37" s="15">
        <f t="shared" si="4"/>
        <v>9075</v>
      </c>
      <c r="G37" s="15">
        <f t="shared" si="4"/>
        <v>10890</v>
      </c>
      <c r="H37" s="15">
        <f t="shared" si="4"/>
        <v>13068</v>
      </c>
      <c r="I37" s="15">
        <f t="shared" si="4"/>
        <v>15681.6</v>
      </c>
      <c r="J37" s="15">
        <f t="shared" si="4"/>
        <v>18817.919999999998</v>
      </c>
      <c r="K37"/>
      <c r="L37"/>
      <c r="M37"/>
      <c r="N37"/>
    </row>
    <row r="38" spans="1:14" ht="15" outlineLevel="1" x14ac:dyDescent="0.2">
      <c r="A38" s="43" t="s">
        <v>200</v>
      </c>
      <c r="B38" s="17"/>
      <c r="C38" s="70"/>
      <c r="D38" s="70"/>
      <c r="E38" s="72">
        <v>0</v>
      </c>
      <c r="F38" s="72">
        <f>E37</f>
        <v>7562.5</v>
      </c>
      <c r="G38" s="72">
        <f>E37+F37</f>
        <v>16637.5</v>
      </c>
      <c r="H38" s="72">
        <f>SUM($E$37:G37)</f>
        <v>27527.5</v>
      </c>
      <c r="I38" s="72">
        <f>SUM($E$37:H37)</f>
        <v>40595.5</v>
      </c>
      <c r="J38" s="72">
        <f>SUM($E$37:I37)</f>
        <v>56277.1</v>
      </c>
      <c r="K38"/>
      <c r="L38"/>
      <c r="M38"/>
      <c r="N38"/>
    </row>
    <row r="39" spans="1:14" ht="15" outlineLevel="1" x14ac:dyDescent="0.2">
      <c r="A39" s="134" t="s">
        <v>207</v>
      </c>
      <c r="B39" s="17"/>
      <c r="C39" s="70"/>
      <c r="D39" s="70"/>
      <c r="E39" s="42">
        <f>$D$29</f>
        <v>0.25</v>
      </c>
      <c r="F39" s="42">
        <f>$D$29*(1+$D$31)^1</f>
        <v>0.26250000000000001</v>
      </c>
      <c r="G39" s="42">
        <f>$D$29*(1+$D$31)^2</f>
        <v>0.27562500000000001</v>
      </c>
      <c r="H39" s="42">
        <f>$D$29*(1+$D$31)^3</f>
        <v>0.28940625000000003</v>
      </c>
      <c r="I39" s="42">
        <f>$D$29*(1+$D$31)^4</f>
        <v>0.3038765625</v>
      </c>
      <c r="J39" s="42">
        <f>$D$29*(1+$D$31)^5</f>
        <v>0.31907039062500003</v>
      </c>
      <c r="K39"/>
      <c r="L39"/>
      <c r="M39"/>
      <c r="N39"/>
    </row>
    <row r="40" spans="1:14" ht="15" outlineLevel="1" x14ac:dyDescent="0.2">
      <c r="A40" s="43" t="s">
        <v>201</v>
      </c>
      <c r="B40" s="17"/>
      <c r="C40" s="70"/>
      <c r="D40" s="70"/>
      <c r="E40" s="72">
        <v>0</v>
      </c>
      <c r="F40" s="72">
        <f>F38*F39*$D$30</f>
        <v>3970.3125</v>
      </c>
      <c r="G40" s="72">
        <f>G38*G39*$D$30</f>
        <v>9171.421875</v>
      </c>
      <c r="H40" s="72">
        <f>H38*H39*$D$30</f>
        <v>15933.261093750001</v>
      </c>
      <c r="I40" s="72">
        <f>I38*I39*$D$30</f>
        <v>24672.0419859375</v>
      </c>
      <c r="J40" s="72">
        <f>J38*J39*$D$30</f>
        <v>35912.712560484375</v>
      </c>
      <c r="K40"/>
      <c r="L40"/>
      <c r="M40"/>
      <c r="N40"/>
    </row>
    <row r="41" spans="1:14" ht="15" outlineLevel="1" x14ac:dyDescent="0.2">
      <c r="A41" s="125" t="s">
        <v>204</v>
      </c>
      <c r="B41" s="17"/>
      <c r="C41" s="70"/>
      <c r="D41" s="70"/>
      <c r="E41" s="73">
        <f t="shared" ref="E41:J41" si="5">E37+E40</f>
        <v>7562.5</v>
      </c>
      <c r="F41" s="73">
        <f t="shared" si="5"/>
        <v>13045.3125</v>
      </c>
      <c r="G41" s="73">
        <f t="shared" si="5"/>
        <v>20061.421875</v>
      </c>
      <c r="H41" s="73">
        <f t="shared" si="5"/>
        <v>29001.261093749999</v>
      </c>
      <c r="I41" s="73">
        <f t="shared" si="5"/>
        <v>40353.641985937502</v>
      </c>
      <c r="J41" s="73">
        <f t="shared" si="5"/>
        <v>54730.632560484373</v>
      </c>
      <c r="K41"/>
      <c r="L41"/>
      <c r="M41"/>
      <c r="N41"/>
    </row>
    <row r="42" spans="1:14" ht="15" outlineLevel="1" x14ac:dyDescent="0.2">
      <c r="K42"/>
      <c r="L42"/>
      <c r="M42"/>
      <c r="N42"/>
    </row>
    <row r="43" spans="1:14" ht="15" outlineLevel="1" x14ac:dyDescent="0.2">
      <c r="A43" s="126" t="s">
        <v>1</v>
      </c>
      <c r="B43" s="101"/>
      <c r="C43" s="101"/>
      <c r="D43" s="101"/>
      <c r="E43" s="101"/>
      <c r="F43" s="101"/>
      <c r="G43" s="101"/>
      <c r="H43" s="101"/>
      <c r="I43" s="101"/>
      <c r="J43" s="101"/>
      <c r="K43"/>
      <c r="L43"/>
      <c r="M43"/>
      <c r="N43"/>
    </row>
    <row r="44" spans="1:14" ht="15" outlineLevel="1" x14ac:dyDescent="0.2">
      <c r="A44" s="43" t="s">
        <v>172</v>
      </c>
      <c r="B44" s="31"/>
      <c r="C44" s="32"/>
      <c r="D44" s="74">
        <f>Assumptions!B25</f>
        <v>250</v>
      </c>
      <c r="E44" s="72"/>
      <c r="F44" s="72"/>
      <c r="G44" s="72"/>
      <c r="H44" s="72"/>
      <c r="I44" s="72"/>
      <c r="J44" s="72"/>
      <c r="K44"/>
      <c r="L44"/>
      <c r="M44"/>
      <c r="N44"/>
    </row>
    <row r="45" spans="1:14" ht="15" outlineLevel="1" x14ac:dyDescent="0.2">
      <c r="A45" s="43" t="s">
        <v>62</v>
      </c>
      <c r="B45" s="31"/>
      <c r="C45" s="32"/>
      <c r="D45" s="79">
        <f>Assumptions!B26</f>
        <v>0.1</v>
      </c>
      <c r="E45" s="72"/>
      <c r="F45" s="72"/>
      <c r="G45" s="72"/>
      <c r="H45" s="72"/>
      <c r="I45" s="72"/>
      <c r="J45" s="72"/>
      <c r="K45"/>
      <c r="L45"/>
      <c r="M45"/>
      <c r="N45"/>
    </row>
    <row r="46" spans="1:14" ht="15" outlineLevel="1" x14ac:dyDescent="0.2">
      <c r="A46" s="43" t="s">
        <v>63</v>
      </c>
      <c r="B46" s="31"/>
      <c r="C46" s="32"/>
      <c r="D46" s="75">
        <f>Assumptions!B27</f>
        <v>0.5</v>
      </c>
      <c r="K46"/>
      <c r="L46"/>
      <c r="M46"/>
      <c r="N46"/>
    </row>
    <row r="47" spans="1:14" ht="15" outlineLevel="1" x14ac:dyDescent="0.2">
      <c r="A47" s="43" t="s">
        <v>156</v>
      </c>
      <c r="B47" s="31"/>
      <c r="C47" s="32"/>
      <c r="D47" s="80">
        <f>Assumptions!B28</f>
        <v>0.01</v>
      </c>
      <c r="K47"/>
      <c r="L47"/>
      <c r="M47"/>
      <c r="N47"/>
    </row>
    <row r="48" spans="1:14" ht="15" outlineLevel="1" x14ac:dyDescent="0.2">
      <c r="A48" s="43" t="s">
        <v>64</v>
      </c>
      <c r="B48" s="31"/>
      <c r="C48" s="32"/>
      <c r="D48" s="75">
        <f>Assumptions!B29</f>
        <v>0.1</v>
      </c>
      <c r="E48" s="72"/>
      <c r="F48" s="72"/>
      <c r="G48" s="72"/>
      <c r="H48" s="72"/>
      <c r="I48" s="72"/>
      <c r="J48" s="72"/>
      <c r="K48"/>
      <c r="L48"/>
      <c r="M48"/>
      <c r="N48"/>
    </row>
    <row r="49" spans="1:14" ht="15" outlineLevel="1" x14ac:dyDescent="0.2">
      <c r="A49" s="43" t="s">
        <v>153</v>
      </c>
      <c r="B49" s="31"/>
      <c r="C49" s="32"/>
      <c r="D49" s="81">
        <f>Assumptions!B30</f>
        <v>0.1</v>
      </c>
      <c r="E49" s="72"/>
      <c r="F49" s="72"/>
      <c r="G49" s="72"/>
      <c r="H49" s="72"/>
      <c r="I49" s="72"/>
      <c r="J49" s="72"/>
      <c r="K49"/>
      <c r="L49"/>
      <c r="M49"/>
      <c r="N49"/>
    </row>
    <row r="50" spans="1:14" ht="15" outlineLevel="1" x14ac:dyDescent="0.2">
      <c r="A50" s="43" t="s">
        <v>154</v>
      </c>
      <c r="B50" s="31"/>
      <c r="C50" s="32"/>
      <c r="D50" s="81">
        <f>Assumptions!B31</f>
        <v>2.9000000000000001E-2</v>
      </c>
      <c r="E50" s="72"/>
      <c r="F50" s="72"/>
      <c r="G50" s="72"/>
      <c r="H50" s="72"/>
      <c r="I50" s="72"/>
      <c r="J50" s="72"/>
      <c r="K50"/>
      <c r="L50"/>
      <c r="M50"/>
      <c r="N50"/>
    </row>
    <row r="51" spans="1:14" ht="15" outlineLevel="1" x14ac:dyDescent="0.2">
      <c r="A51" s="43" t="s">
        <v>155</v>
      </c>
      <c r="B51" s="31"/>
      <c r="C51" s="32"/>
      <c r="D51" s="81">
        <f>Assumptions!B32</f>
        <v>0</v>
      </c>
      <c r="E51" s="72"/>
      <c r="F51" s="72"/>
      <c r="G51" s="72"/>
      <c r="H51" s="72"/>
      <c r="I51" s="72"/>
      <c r="J51" s="72"/>
      <c r="K51"/>
      <c r="L51"/>
      <c r="M51"/>
      <c r="N51"/>
    </row>
    <row r="52" spans="1:14" ht="15" outlineLevel="1" x14ac:dyDescent="0.2">
      <c r="A52" s="31"/>
      <c r="B52" s="31"/>
      <c r="C52" s="32"/>
      <c r="D52" s="79"/>
      <c r="E52" s="72"/>
      <c r="F52" s="72"/>
      <c r="G52" s="72"/>
      <c r="H52" s="72"/>
      <c r="I52" s="72"/>
      <c r="J52" s="72"/>
      <c r="K52"/>
      <c r="L52"/>
      <c r="M52"/>
      <c r="N52"/>
    </row>
    <row r="53" spans="1:14" ht="15" outlineLevel="1" x14ac:dyDescent="0.2">
      <c r="A53" s="43" t="s">
        <v>33</v>
      </c>
      <c r="B53" s="31"/>
      <c r="C53" s="32"/>
      <c r="D53" s="77"/>
      <c r="E53" s="3">
        <f>D44</f>
        <v>250</v>
      </c>
      <c r="F53" s="3">
        <f>E53*(1+$D45)</f>
        <v>275</v>
      </c>
      <c r="G53" s="3">
        <f t="shared" ref="G53:J53" si="6">F53*(1+$D45)</f>
        <v>302.5</v>
      </c>
      <c r="H53" s="3">
        <f t="shared" si="6"/>
        <v>332.75</v>
      </c>
      <c r="I53" s="3">
        <f t="shared" si="6"/>
        <v>366.02500000000003</v>
      </c>
      <c r="J53" s="3">
        <f t="shared" si="6"/>
        <v>402.62750000000005</v>
      </c>
      <c r="K53"/>
      <c r="L53"/>
      <c r="M53"/>
      <c r="N53"/>
    </row>
    <row r="54" spans="1:14" ht="15" outlineLevel="1" x14ac:dyDescent="0.2">
      <c r="A54" s="43" t="s">
        <v>199</v>
      </c>
      <c r="B54" s="31"/>
      <c r="C54" s="32"/>
      <c r="E54" s="3">
        <f>(E53*(1-$D$48))</f>
        <v>225</v>
      </c>
      <c r="F54" s="3">
        <f t="shared" ref="F54:J54" si="7">(F53*(1-$D$48))</f>
        <v>247.5</v>
      </c>
      <c r="G54" s="3">
        <f t="shared" si="7"/>
        <v>272.25</v>
      </c>
      <c r="H54" s="3">
        <f t="shared" si="7"/>
        <v>299.47500000000002</v>
      </c>
      <c r="I54" s="3">
        <f t="shared" si="7"/>
        <v>329.42250000000001</v>
      </c>
      <c r="J54" s="3">
        <f t="shared" si="7"/>
        <v>362.36475000000007</v>
      </c>
      <c r="K54"/>
      <c r="L54"/>
      <c r="M54"/>
      <c r="N54"/>
    </row>
    <row r="55" spans="1:14" ht="15" outlineLevel="1" x14ac:dyDescent="0.2">
      <c r="E55" s="92"/>
      <c r="F55" s="92"/>
      <c r="G55" s="92"/>
      <c r="H55" s="92"/>
      <c r="I55" s="92"/>
      <c r="J55" s="92"/>
      <c r="K55"/>
      <c r="L55"/>
      <c r="M55"/>
      <c r="N55"/>
    </row>
    <row r="56" spans="1:14" ht="15" outlineLevel="1" x14ac:dyDescent="0.2">
      <c r="A56" s="124" t="s">
        <v>148</v>
      </c>
      <c r="B56" s="13"/>
      <c r="C56" s="13"/>
      <c r="D56" s="13"/>
      <c r="E56" s="101"/>
      <c r="F56" s="101"/>
      <c r="G56" s="101"/>
      <c r="H56" s="101"/>
      <c r="I56" s="101"/>
      <c r="J56" s="101"/>
      <c r="K56"/>
      <c r="L56"/>
      <c r="M56"/>
      <c r="N56"/>
    </row>
    <row r="57" spans="1:14" ht="15" outlineLevel="1" x14ac:dyDescent="0.2">
      <c r="A57" s="43" t="s">
        <v>65</v>
      </c>
      <c r="B57" s="32"/>
      <c r="D57" s="82">
        <f>Assumptions!B35</f>
        <v>5.75</v>
      </c>
      <c r="E57" s="93"/>
      <c r="F57" s="93"/>
      <c r="G57" s="93"/>
      <c r="H57" s="93"/>
      <c r="I57" s="93"/>
      <c r="J57" s="93"/>
      <c r="K57"/>
      <c r="L57"/>
      <c r="M57"/>
      <c r="N57"/>
    </row>
    <row r="58" spans="1:14" ht="15" outlineLevel="1" x14ac:dyDescent="0.2">
      <c r="A58" s="43" t="s">
        <v>66</v>
      </c>
      <c r="B58" s="32"/>
      <c r="D58" s="79">
        <f>Assumptions!B36</f>
        <v>0.05</v>
      </c>
      <c r="E58" s="93"/>
      <c r="F58" s="93"/>
      <c r="G58" s="93"/>
      <c r="H58" s="93"/>
      <c r="I58" s="93"/>
      <c r="J58" s="93"/>
      <c r="K58"/>
      <c r="L58"/>
      <c r="M58"/>
      <c r="N58"/>
    </row>
    <row r="59" spans="1:14" ht="15" outlineLevel="1" x14ac:dyDescent="0.2">
      <c r="E59" s="93"/>
      <c r="F59" s="93"/>
      <c r="G59" s="93"/>
      <c r="H59" s="93"/>
      <c r="I59" s="93"/>
      <c r="J59" s="93"/>
      <c r="K59"/>
      <c r="L59"/>
      <c r="M59"/>
      <c r="N59"/>
    </row>
    <row r="60" spans="1:14" ht="15" outlineLevel="1" x14ac:dyDescent="0.2">
      <c r="A60" s="43" t="s">
        <v>30</v>
      </c>
      <c r="E60" s="20">
        <f>D57</f>
        <v>5.75</v>
      </c>
      <c r="F60" s="20">
        <f>E60*(1+$D58)</f>
        <v>6.0375000000000005</v>
      </c>
      <c r="G60" s="20">
        <f>F60*(1+$D58)</f>
        <v>6.3393750000000004</v>
      </c>
      <c r="H60" s="20">
        <f>G60*(1+$D58)</f>
        <v>6.6563437500000004</v>
      </c>
      <c r="I60" s="20">
        <f>H60*(1+$D58)</f>
        <v>6.9891609375000003</v>
      </c>
      <c r="J60" s="20">
        <f>I60*(1+$D58)</f>
        <v>7.3386189843750005</v>
      </c>
      <c r="K60"/>
      <c r="L60"/>
      <c r="M60"/>
      <c r="N60"/>
    </row>
    <row r="61" spans="1:14" ht="15" outlineLevel="1" x14ac:dyDescent="0.2">
      <c r="K61"/>
      <c r="L61"/>
      <c r="M61"/>
      <c r="N61"/>
    </row>
    <row r="62" spans="1:14" ht="15" outlineLevel="1" x14ac:dyDescent="0.2">
      <c r="A62" s="124" t="s">
        <v>2</v>
      </c>
      <c r="B62" s="13"/>
      <c r="C62" s="13"/>
      <c r="D62" s="13"/>
      <c r="E62" s="13"/>
      <c r="F62" s="13"/>
      <c r="G62" s="13"/>
      <c r="H62" s="13"/>
      <c r="I62" s="13"/>
      <c r="J62" s="13"/>
      <c r="K62"/>
      <c r="L62"/>
      <c r="M62"/>
      <c r="N62"/>
    </row>
    <row r="63" spans="1:14" ht="15" outlineLevel="1" x14ac:dyDescent="0.2">
      <c r="A63" s="125" t="s">
        <v>67</v>
      </c>
      <c r="K63"/>
      <c r="L63"/>
      <c r="M63"/>
      <c r="N63"/>
    </row>
    <row r="64" spans="1:14" ht="15" outlineLevel="1" x14ac:dyDescent="0.2">
      <c r="A64" s="43" t="s">
        <v>31</v>
      </c>
      <c r="B64" s="31"/>
      <c r="C64" s="32"/>
      <c r="D64" s="82">
        <f>Assumptions!B39</f>
        <v>12</v>
      </c>
      <c r="K64"/>
      <c r="L64"/>
      <c r="M64"/>
      <c r="N64"/>
    </row>
    <row r="65" spans="1:14" ht="15" outlineLevel="1" x14ac:dyDescent="0.2">
      <c r="A65" s="43" t="s">
        <v>68</v>
      </c>
      <c r="B65" s="31"/>
      <c r="C65" s="32"/>
      <c r="D65" s="75">
        <f>Assumptions!B40</f>
        <v>0.02</v>
      </c>
      <c r="K65"/>
      <c r="L65"/>
      <c r="M65"/>
      <c r="N65"/>
    </row>
    <row r="66" spans="1:14" ht="15" outlineLevel="1" x14ac:dyDescent="0.2">
      <c r="A66" s="43" t="s">
        <v>32</v>
      </c>
      <c r="B66" s="31"/>
      <c r="C66" s="32"/>
      <c r="D66" s="82">
        <f>Assumptions!B41</f>
        <v>5</v>
      </c>
      <c r="K66"/>
      <c r="L66"/>
      <c r="M66"/>
      <c r="N66"/>
    </row>
    <row r="67" spans="1:14" ht="15" outlineLevel="1" x14ac:dyDescent="0.2">
      <c r="A67" s="43" t="s">
        <v>158</v>
      </c>
      <c r="B67" s="31"/>
      <c r="C67" s="32"/>
      <c r="D67" s="83">
        <f>Assumptions!B42</f>
        <v>1.5</v>
      </c>
      <c r="K67"/>
      <c r="L67"/>
      <c r="M67"/>
      <c r="N67"/>
    </row>
    <row r="68" spans="1:14" ht="15" outlineLevel="1" x14ac:dyDescent="0.2">
      <c r="A68" s="43" t="s">
        <v>159</v>
      </c>
      <c r="B68" s="31"/>
      <c r="C68" s="32"/>
      <c r="D68" s="83">
        <f>Assumptions!B43</f>
        <v>1.5</v>
      </c>
      <c r="K68"/>
      <c r="L68"/>
      <c r="M68"/>
      <c r="N68"/>
    </row>
    <row r="69" spans="1:14" ht="15" outlineLevel="1" x14ac:dyDescent="0.2">
      <c r="A69" s="35"/>
      <c r="B69" s="31"/>
      <c r="C69" s="32"/>
      <c r="K69"/>
      <c r="L69"/>
      <c r="M69"/>
      <c r="N69"/>
    </row>
    <row r="70" spans="1:14" ht="15" outlineLevel="1" x14ac:dyDescent="0.2">
      <c r="A70" s="43" t="s">
        <v>69</v>
      </c>
      <c r="B70" s="31"/>
      <c r="C70" s="32"/>
      <c r="E70" s="20">
        <f>D64</f>
        <v>12</v>
      </c>
      <c r="F70" s="20">
        <f>E70*(1+$D65)</f>
        <v>12.24</v>
      </c>
      <c r="G70" s="20">
        <f>F70*(1+$D65)</f>
        <v>12.4848</v>
      </c>
      <c r="H70" s="20">
        <f>G70*(1+$D65)</f>
        <v>12.734496</v>
      </c>
      <c r="I70" s="20">
        <f>H70*(1+$D65)</f>
        <v>12.989185920000001</v>
      </c>
      <c r="J70" s="20">
        <f>I70*(1+$D65)</f>
        <v>13.2489696384</v>
      </c>
      <c r="K70"/>
      <c r="L70"/>
      <c r="M70"/>
      <c r="N70"/>
    </row>
    <row r="71" spans="1:14" ht="15" outlineLevel="1" x14ac:dyDescent="0.2">
      <c r="A71" s="43" t="s">
        <v>70</v>
      </c>
      <c r="B71" s="31"/>
      <c r="C71" s="32"/>
      <c r="E71" s="20">
        <f>D66</f>
        <v>5</v>
      </c>
      <c r="F71" s="20">
        <f>E71*(1+$D65)</f>
        <v>5.0999999999999996</v>
      </c>
      <c r="G71" s="20">
        <f>F71*(1+$D65)</f>
        <v>5.202</v>
      </c>
      <c r="H71" s="20">
        <f>G71*(1+$D65)</f>
        <v>5.3060400000000003</v>
      </c>
      <c r="I71" s="20">
        <f>H71*(1+$D65)</f>
        <v>5.4121608000000005</v>
      </c>
      <c r="J71" s="20">
        <f>I71*(1+$D65)</f>
        <v>5.5204040160000005</v>
      </c>
      <c r="K71"/>
      <c r="L71"/>
      <c r="M71"/>
      <c r="N71"/>
    </row>
    <row r="72" spans="1:14" ht="15" outlineLevel="1" x14ac:dyDescent="0.2">
      <c r="A72" s="128" t="s">
        <v>71</v>
      </c>
      <c r="B72" s="34"/>
      <c r="C72" s="34"/>
      <c r="D72" s="15"/>
      <c r="E72" s="21">
        <f>SUM(E70:E71)</f>
        <v>17</v>
      </c>
      <c r="F72" s="21">
        <f t="shared" ref="F72:J72" si="8">SUM(F70:F71)</f>
        <v>17.34</v>
      </c>
      <c r="G72" s="21">
        <f t="shared" si="8"/>
        <v>17.686799999999998</v>
      </c>
      <c r="H72" s="21">
        <f t="shared" si="8"/>
        <v>18.040535999999999</v>
      </c>
      <c r="I72" s="21">
        <f t="shared" si="8"/>
        <v>18.401346719999999</v>
      </c>
      <c r="J72" s="21">
        <f t="shared" si="8"/>
        <v>18.769373654399999</v>
      </c>
      <c r="K72"/>
      <c r="L72"/>
      <c r="M72"/>
      <c r="N72"/>
    </row>
    <row r="73" spans="1:14" ht="15" outlineLevel="1" x14ac:dyDescent="0.2">
      <c r="A73" s="17"/>
      <c r="B73" s="17"/>
      <c r="C73" s="17"/>
      <c r="D73" s="17"/>
      <c r="E73" s="22"/>
      <c r="F73" s="22"/>
      <c r="G73" s="22"/>
      <c r="H73" s="22"/>
      <c r="I73" s="22"/>
      <c r="J73" s="22"/>
      <c r="K73"/>
      <c r="L73"/>
      <c r="M73"/>
      <c r="N73"/>
    </row>
    <row r="74" spans="1:14" ht="15" outlineLevel="1" x14ac:dyDescent="0.2">
      <c r="A74" s="125" t="s">
        <v>72</v>
      </c>
      <c r="B74" s="101"/>
      <c r="C74" s="101"/>
      <c r="D74" s="101"/>
      <c r="E74" s="101"/>
      <c r="F74" s="101"/>
      <c r="G74" s="101"/>
      <c r="H74" s="101"/>
      <c r="I74" s="101"/>
      <c r="J74" s="101"/>
      <c r="K74"/>
      <c r="L74"/>
      <c r="M74"/>
      <c r="N74"/>
    </row>
    <row r="75" spans="1:14" ht="15" outlineLevel="1" x14ac:dyDescent="0.2">
      <c r="A75" s="43" t="s">
        <v>37</v>
      </c>
      <c r="B75" s="31"/>
      <c r="D75" s="74">
        <f>Assumptions!B46</f>
        <v>150000</v>
      </c>
      <c r="K75"/>
      <c r="L75"/>
      <c r="M75"/>
      <c r="N75"/>
    </row>
    <row r="76" spans="1:14" ht="15" outlineLevel="1" x14ac:dyDescent="0.2">
      <c r="A76" s="43" t="s">
        <v>38</v>
      </c>
      <c r="B76" s="31"/>
      <c r="D76" s="84">
        <f>Assumptions!B47</f>
        <v>2027</v>
      </c>
      <c r="K76"/>
      <c r="L76"/>
      <c r="M76"/>
      <c r="N76"/>
    </row>
    <row r="77" spans="1:14" ht="15" outlineLevel="1" x14ac:dyDescent="0.2">
      <c r="A77" s="43" t="s">
        <v>73</v>
      </c>
      <c r="B77" s="31"/>
      <c r="D77" s="75">
        <f>Assumptions!B48</f>
        <v>0.05</v>
      </c>
      <c r="K77"/>
      <c r="L77"/>
      <c r="M77"/>
      <c r="N77"/>
    </row>
    <row r="78" spans="1:14" ht="15" outlineLevel="1" x14ac:dyDescent="0.2">
      <c r="A78" s="30"/>
      <c r="B78" s="31"/>
      <c r="D78" s="23"/>
      <c r="K78"/>
      <c r="L78"/>
      <c r="M78"/>
      <c r="N78"/>
    </row>
    <row r="79" spans="1:14" ht="15" outlineLevel="1" x14ac:dyDescent="0.2">
      <c r="A79" s="43" t="s">
        <v>39</v>
      </c>
      <c r="B79" s="31"/>
      <c r="E79" s="3">
        <f t="shared" ref="E79:J79" si="9">IF(E2&lt;$D$76,0,($D$75*(1+$D$77)^(E2-$D$84)))</f>
        <v>0</v>
      </c>
      <c r="F79" s="3">
        <f t="shared" si="9"/>
        <v>150000</v>
      </c>
      <c r="G79" s="3">
        <f t="shared" si="9"/>
        <v>157500</v>
      </c>
      <c r="H79" s="3">
        <f t="shared" si="9"/>
        <v>165375</v>
      </c>
      <c r="I79" s="3">
        <f t="shared" si="9"/>
        <v>173643.75000000003</v>
      </c>
      <c r="J79" s="3">
        <f t="shared" si="9"/>
        <v>182325.9375</v>
      </c>
      <c r="K79"/>
      <c r="L79"/>
      <c r="M79"/>
      <c r="N79"/>
    </row>
    <row r="80" spans="1:14" ht="15" outlineLevel="1" x14ac:dyDescent="0.2">
      <c r="K80"/>
      <c r="L80"/>
      <c r="M80"/>
      <c r="N80"/>
    </row>
    <row r="81" spans="1:14" ht="15" outlineLevel="1" x14ac:dyDescent="0.2">
      <c r="A81" s="124" t="s">
        <v>4</v>
      </c>
      <c r="B81" s="13"/>
      <c r="C81" s="13"/>
      <c r="D81" s="13"/>
      <c r="E81" s="13"/>
      <c r="F81" s="13"/>
      <c r="G81" s="13"/>
      <c r="H81" s="13"/>
      <c r="I81" s="13"/>
      <c r="J81" s="13"/>
      <c r="K81"/>
      <c r="L81"/>
      <c r="M81"/>
      <c r="N81"/>
    </row>
    <row r="82" spans="1:14" ht="15" outlineLevel="1" x14ac:dyDescent="0.2">
      <c r="A82" s="125" t="s">
        <v>79</v>
      </c>
      <c r="K82"/>
      <c r="L82"/>
      <c r="M82"/>
      <c r="N82"/>
    </row>
    <row r="83" spans="1:14" ht="15" outlineLevel="1" x14ac:dyDescent="0.2">
      <c r="A83" s="43" t="s">
        <v>35</v>
      </c>
      <c r="B83" s="32"/>
      <c r="D83" s="74">
        <f>Assumptions!B51</f>
        <v>100000</v>
      </c>
      <c r="E83" s="72"/>
      <c r="F83" s="72"/>
      <c r="G83" s="72"/>
      <c r="H83" s="72"/>
      <c r="I83" s="72"/>
      <c r="J83" s="72"/>
      <c r="K83"/>
      <c r="L83"/>
      <c r="M83"/>
      <c r="N83"/>
    </row>
    <row r="84" spans="1:14" ht="15" outlineLevel="1" x14ac:dyDescent="0.2">
      <c r="A84" s="43" t="s">
        <v>34</v>
      </c>
      <c r="B84" s="32"/>
      <c r="D84" s="84">
        <f>Assumptions!B52</f>
        <v>2027</v>
      </c>
      <c r="E84" s="72"/>
      <c r="F84" s="72"/>
      <c r="G84" s="72"/>
      <c r="H84" s="72"/>
      <c r="I84" s="72"/>
      <c r="J84" s="72"/>
      <c r="K84"/>
      <c r="L84"/>
      <c r="M84"/>
      <c r="N84"/>
    </row>
    <row r="85" spans="1:14" ht="15" outlineLevel="1" x14ac:dyDescent="0.2">
      <c r="A85" s="43" t="s">
        <v>74</v>
      </c>
      <c r="B85" s="32"/>
      <c r="D85" s="75">
        <f>Assumptions!B53</f>
        <v>0.05</v>
      </c>
      <c r="E85" s="72"/>
      <c r="F85" s="72"/>
      <c r="G85" s="72"/>
      <c r="H85" s="72"/>
      <c r="I85" s="72"/>
      <c r="J85" s="72"/>
      <c r="K85"/>
      <c r="L85"/>
      <c r="M85"/>
      <c r="N85"/>
    </row>
    <row r="86" spans="1:14" ht="15" outlineLevel="1" x14ac:dyDescent="0.2">
      <c r="A86" s="43" t="s">
        <v>75</v>
      </c>
      <c r="B86" s="32"/>
      <c r="D86" s="74">
        <f>Assumptions!B54</f>
        <v>100000</v>
      </c>
      <c r="E86" s="72"/>
      <c r="F86" s="72"/>
      <c r="G86" s="72"/>
      <c r="H86" s="72"/>
      <c r="I86" s="72"/>
      <c r="J86" s="72"/>
      <c r="K86"/>
      <c r="L86"/>
      <c r="M86"/>
      <c r="N86"/>
    </row>
    <row r="87" spans="1:14" ht="15" outlineLevel="1" x14ac:dyDescent="0.2">
      <c r="A87" s="43" t="s">
        <v>160</v>
      </c>
      <c r="B87" s="32"/>
      <c r="D87" s="85">
        <f>Assumptions!B55</f>
        <v>6</v>
      </c>
      <c r="E87" s="72"/>
      <c r="F87" s="72"/>
      <c r="G87" s="72"/>
      <c r="H87" s="72"/>
      <c r="I87" s="72"/>
      <c r="J87" s="72"/>
      <c r="K87"/>
      <c r="L87"/>
      <c r="M87"/>
      <c r="N87"/>
    </row>
    <row r="88" spans="1:14" ht="15" outlineLevel="1" x14ac:dyDescent="0.2">
      <c r="A88" s="43" t="s">
        <v>76</v>
      </c>
      <c r="B88" s="32"/>
      <c r="D88" s="74">
        <f>Assumptions!B56</f>
        <v>100000</v>
      </c>
      <c r="E88" s="72"/>
      <c r="F88" s="72"/>
      <c r="G88" s="72"/>
      <c r="H88" s="72"/>
      <c r="I88" s="72"/>
      <c r="J88" s="72"/>
      <c r="K88"/>
      <c r="L88"/>
      <c r="M88"/>
      <c r="N88"/>
    </row>
    <row r="89" spans="1:14" ht="15" outlineLevel="1" x14ac:dyDescent="0.2">
      <c r="A89" s="43" t="s">
        <v>77</v>
      </c>
      <c r="B89" s="32"/>
      <c r="D89" s="75">
        <f>Assumptions!B57</f>
        <v>0.05</v>
      </c>
      <c r="E89" s="72"/>
      <c r="F89" s="72"/>
      <c r="G89" s="72"/>
      <c r="H89" s="72"/>
      <c r="I89" s="72"/>
      <c r="J89" s="72"/>
      <c r="K89"/>
      <c r="L89"/>
      <c r="M89"/>
      <c r="N89"/>
    </row>
    <row r="90" spans="1:14" ht="15" outlineLevel="1" x14ac:dyDescent="0.2">
      <c r="A90" s="43" t="s">
        <v>78</v>
      </c>
      <c r="B90" s="32"/>
      <c r="D90" s="74">
        <f>Assumptions!B58</f>
        <v>100000</v>
      </c>
      <c r="E90" s="72"/>
      <c r="F90" s="72"/>
      <c r="G90" s="72"/>
      <c r="H90" s="72"/>
      <c r="I90" s="72"/>
      <c r="J90" s="72"/>
      <c r="K90"/>
      <c r="L90"/>
      <c r="M90"/>
      <c r="N90"/>
    </row>
    <row r="91" spans="1:14" ht="15" outlineLevel="1" x14ac:dyDescent="0.2">
      <c r="A91" s="43" t="s">
        <v>161</v>
      </c>
      <c r="B91" s="32"/>
      <c r="D91" s="86">
        <f>Assumptions!B59</f>
        <v>250</v>
      </c>
      <c r="E91" s="72"/>
      <c r="F91" s="72"/>
      <c r="G91" s="72"/>
      <c r="H91" s="72"/>
      <c r="I91" s="72"/>
      <c r="J91" s="72"/>
      <c r="K91"/>
      <c r="L91"/>
      <c r="M91"/>
      <c r="N91"/>
    </row>
    <row r="92" spans="1:14" ht="15" outlineLevel="1" x14ac:dyDescent="0.2">
      <c r="E92" s="72"/>
      <c r="F92" s="72"/>
      <c r="G92" s="72"/>
      <c r="H92" s="72"/>
      <c r="I92" s="72"/>
      <c r="J92" s="72"/>
      <c r="K92"/>
      <c r="L92"/>
      <c r="M92"/>
      <c r="N92"/>
    </row>
    <row r="93" spans="1:14" ht="15" outlineLevel="1" x14ac:dyDescent="0.2">
      <c r="A93" s="43" t="s">
        <v>81</v>
      </c>
      <c r="E93" s="72">
        <f t="shared" ref="E93:J93" si="10">IF(E2&lt;$D$84,0,($D$83*(1+$D$85)^(E2-$D$84)))</f>
        <v>0</v>
      </c>
      <c r="F93" s="72">
        <f t="shared" si="10"/>
        <v>100000</v>
      </c>
      <c r="G93" s="72">
        <f t="shared" si="10"/>
        <v>105000</v>
      </c>
      <c r="H93" s="72">
        <f t="shared" si="10"/>
        <v>110250</v>
      </c>
      <c r="I93" s="72">
        <f t="shared" si="10"/>
        <v>115762.50000000001</v>
      </c>
      <c r="J93" s="72">
        <f t="shared" si="10"/>
        <v>121550.625</v>
      </c>
      <c r="K93"/>
      <c r="L93"/>
      <c r="M93"/>
      <c r="N93"/>
    </row>
    <row r="94" spans="1:14" ht="15" outlineLevel="1" x14ac:dyDescent="0.2">
      <c r="A94" s="43" t="s">
        <v>80</v>
      </c>
      <c r="E94" s="72">
        <f>$D$86*((12-$D$87)+$D$87*0.5)/12</f>
        <v>75000</v>
      </c>
      <c r="F94" s="72">
        <f>$D$86*(1+$D$89)^1</f>
        <v>105000</v>
      </c>
      <c r="G94" s="72">
        <f>$D$86*(1+$D$89)^2</f>
        <v>110250</v>
      </c>
      <c r="H94" s="72">
        <f>$D$86*(1+$D$89)^3</f>
        <v>115762.50000000001</v>
      </c>
      <c r="I94" s="72">
        <f>$D$86*(1+$D$89)^4</f>
        <v>121550.625</v>
      </c>
      <c r="J94" s="72">
        <f>$D$86*(1+$D$89)^5</f>
        <v>127628.15625000001</v>
      </c>
      <c r="K94"/>
      <c r="L94"/>
      <c r="M94"/>
      <c r="N94"/>
    </row>
    <row r="95" spans="1:14" ht="15" outlineLevel="1" x14ac:dyDescent="0.2">
      <c r="A95" s="43" t="s">
        <v>82</v>
      </c>
      <c r="E95" s="72">
        <f>D88</f>
        <v>100000</v>
      </c>
      <c r="F95" s="72">
        <f>E95*(1+$D$89)</f>
        <v>105000</v>
      </c>
      <c r="G95" s="72">
        <f t="shared" ref="G95:J95" si="11">F95*(1+$D$89)</f>
        <v>110250</v>
      </c>
      <c r="H95" s="72">
        <f t="shared" si="11"/>
        <v>115762.5</v>
      </c>
      <c r="I95" s="72">
        <f t="shared" si="11"/>
        <v>121550.625</v>
      </c>
      <c r="J95" s="72">
        <f t="shared" si="11"/>
        <v>127628.15625</v>
      </c>
      <c r="K95"/>
      <c r="L95"/>
      <c r="M95"/>
      <c r="N95"/>
    </row>
    <row r="96" spans="1:14" ht="15" outlineLevel="1" x14ac:dyDescent="0.2">
      <c r="A96" s="43" t="s">
        <v>83</v>
      </c>
      <c r="E96" s="72">
        <f>$D$90</f>
        <v>100000</v>
      </c>
      <c r="F96" s="72">
        <f t="shared" ref="F96:J96" si="12">$D$90</f>
        <v>100000</v>
      </c>
      <c r="G96" s="72">
        <f t="shared" si="12"/>
        <v>100000</v>
      </c>
      <c r="H96" s="72">
        <f t="shared" si="12"/>
        <v>100000</v>
      </c>
      <c r="I96" s="72">
        <f t="shared" si="12"/>
        <v>100000</v>
      </c>
      <c r="J96" s="72">
        <f t="shared" si="12"/>
        <v>100000</v>
      </c>
      <c r="K96"/>
      <c r="L96"/>
      <c r="M96"/>
      <c r="N96"/>
    </row>
    <row r="97" spans="1:14" ht="15" outlineLevel="1" x14ac:dyDescent="0.2">
      <c r="A97" s="43" t="s">
        <v>202</v>
      </c>
      <c r="E97" s="72">
        <f>$D$91*12</f>
        <v>3000</v>
      </c>
      <c r="F97" s="72">
        <f>E97*(1+$D$89)</f>
        <v>3150</v>
      </c>
      <c r="G97" s="72">
        <f>F97*(1+$D$89)</f>
        <v>3307.5</v>
      </c>
      <c r="H97" s="72">
        <f>G97*(1+$D$89)</f>
        <v>3472.875</v>
      </c>
      <c r="I97" s="72">
        <f>H97*(1+$D$89)</f>
        <v>3646.5187500000002</v>
      </c>
      <c r="J97" s="72">
        <f>I97*(1+$D$89)</f>
        <v>3828.8446875000004</v>
      </c>
      <c r="K97"/>
      <c r="L97"/>
      <c r="M97"/>
      <c r="N97"/>
    </row>
    <row r="98" spans="1:14" ht="15" outlineLevel="1" x14ac:dyDescent="0.2">
      <c r="A98" s="128" t="s">
        <v>84</v>
      </c>
      <c r="B98" s="19"/>
      <c r="C98" s="19"/>
      <c r="D98" s="19"/>
      <c r="E98" s="24">
        <f t="shared" ref="E98:J98" si="13">SUM(E93:E97)</f>
        <v>278000</v>
      </c>
      <c r="F98" s="24">
        <f t="shared" si="13"/>
        <v>413150</v>
      </c>
      <c r="G98" s="24">
        <f t="shared" si="13"/>
        <v>428807.5</v>
      </c>
      <c r="H98" s="24">
        <f t="shared" si="13"/>
        <v>445247.875</v>
      </c>
      <c r="I98" s="24">
        <f t="shared" si="13"/>
        <v>462510.26874999999</v>
      </c>
      <c r="J98" s="24">
        <f t="shared" si="13"/>
        <v>480635.78218749998</v>
      </c>
      <c r="K98"/>
      <c r="L98"/>
      <c r="M98"/>
      <c r="N98"/>
    </row>
    <row r="99" spans="1:14" ht="15" outlineLevel="1" x14ac:dyDescent="0.2">
      <c r="K99"/>
      <c r="L99"/>
      <c r="M99"/>
      <c r="N99"/>
    </row>
    <row r="100" spans="1:14" ht="15" outlineLevel="1" x14ac:dyDescent="0.2">
      <c r="A100" s="124" t="s">
        <v>5</v>
      </c>
      <c r="B100" s="13"/>
      <c r="C100" s="13"/>
      <c r="D100" s="13"/>
      <c r="E100" s="13"/>
      <c r="F100" s="13"/>
      <c r="G100" s="13"/>
      <c r="H100" s="13"/>
      <c r="I100" s="13"/>
      <c r="J100" s="13"/>
      <c r="K100"/>
      <c r="L100"/>
      <c r="M100"/>
      <c r="N100"/>
    </row>
    <row r="101" spans="1:14" ht="15" outlineLevel="1" x14ac:dyDescent="0.2">
      <c r="A101" s="125" t="s">
        <v>85</v>
      </c>
      <c r="K101"/>
      <c r="L101"/>
      <c r="M101"/>
      <c r="N101"/>
    </row>
    <row r="102" spans="1:14" ht="15" outlineLevel="1" x14ac:dyDescent="0.2">
      <c r="A102" s="43" t="s">
        <v>86</v>
      </c>
      <c r="B102" s="32"/>
      <c r="D102" s="74">
        <f>Assumptions!B62</f>
        <v>5</v>
      </c>
      <c r="E102" s="72"/>
      <c r="F102" s="72"/>
      <c r="G102" s="72"/>
      <c r="H102" s="72"/>
      <c r="I102" s="72"/>
      <c r="J102" s="72"/>
      <c r="K102"/>
      <c r="L102"/>
      <c r="M102"/>
      <c r="N102"/>
    </row>
    <row r="103" spans="1:14" ht="15" outlineLevel="1" x14ac:dyDescent="0.2">
      <c r="A103" s="43" t="s">
        <v>87</v>
      </c>
      <c r="B103" s="32"/>
      <c r="D103" s="87">
        <f>Assumptions!B63</f>
        <v>120</v>
      </c>
      <c r="E103" s="72"/>
      <c r="F103" s="72"/>
      <c r="G103" s="72"/>
      <c r="H103" s="72"/>
      <c r="I103" s="72"/>
      <c r="J103" s="72"/>
      <c r="K103"/>
      <c r="L103"/>
      <c r="M103"/>
      <c r="N103"/>
    </row>
    <row r="104" spans="1:14" ht="15" outlineLevel="1" x14ac:dyDescent="0.2">
      <c r="A104" s="43" t="s">
        <v>42</v>
      </c>
      <c r="B104" s="32"/>
      <c r="D104" s="87">
        <f>Assumptions!B66</f>
        <v>365</v>
      </c>
      <c r="E104" s="25"/>
      <c r="F104" s="25"/>
      <c r="G104" s="25"/>
      <c r="H104" s="25"/>
      <c r="I104" s="25"/>
      <c r="J104" s="25"/>
      <c r="K104"/>
      <c r="L104"/>
      <c r="M104"/>
      <c r="N104"/>
    </row>
    <row r="105" spans="1:14" ht="15" outlineLevel="1" x14ac:dyDescent="0.2">
      <c r="A105" s="43" t="s">
        <v>88</v>
      </c>
      <c r="B105" s="32"/>
      <c r="D105" s="88">
        <f>Assumptions!B64</f>
        <v>0.1</v>
      </c>
      <c r="E105" s="25"/>
      <c r="F105" s="25"/>
      <c r="G105" s="25"/>
      <c r="H105" s="25"/>
      <c r="I105" s="25"/>
      <c r="J105" s="25"/>
      <c r="K105"/>
      <c r="L105"/>
      <c r="M105"/>
      <c r="N105"/>
    </row>
    <row r="106" spans="1:14" ht="15" outlineLevel="1" x14ac:dyDescent="0.2">
      <c r="A106" s="31"/>
      <c r="B106" s="32"/>
      <c r="D106" s="97"/>
      <c r="E106" s="25"/>
      <c r="F106" s="25"/>
      <c r="G106" s="25"/>
      <c r="H106" s="25"/>
      <c r="I106" s="25"/>
      <c r="J106" s="25"/>
      <c r="K106"/>
      <c r="L106"/>
      <c r="M106"/>
      <c r="N106"/>
    </row>
    <row r="107" spans="1:14" ht="15" outlineLevel="1" x14ac:dyDescent="0.2">
      <c r="A107" s="43" t="s">
        <v>89</v>
      </c>
      <c r="B107" s="32"/>
      <c r="D107" s="87"/>
      <c r="E107" s="25">
        <f>$D$104/D103</f>
        <v>3.0416666666666665</v>
      </c>
      <c r="F107" s="25">
        <f>E107*(1+$D$105)</f>
        <v>3.3458333333333337</v>
      </c>
      <c r="G107" s="25">
        <f t="shared" ref="G107:J107" si="14">F107*(1+$D$105)</f>
        <v>3.6804166666666673</v>
      </c>
      <c r="H107" s="25">
        <f t="shared" si="14"/>
        <v>4.0484583333333344</v>
      </c>
      <c r="I107" s="25">
        <f t="shared" si="14"/>
        <v>4.4533041666666682</v>
      </c>
      <c r="J107" s="25">
        <f t="shared" si="14"/>
        <v>4.8986345833333358</v>
      </c>
      <c r="K107"/>
      <c r="L107"/>
      <c r="M107"/>
      <c r="N107"/>
    </row>
    <row r="108" spans="1:14" ht="15" outlineLevel="1" x14ac:dyDescent="0.2">
      <c r="D108" s="87"/>
      <c r="E108" s="25"/>
      <c r="F108" s="25"/>
      <c r="G108" s="25"/>
      <c r="H108" s="25"/>
      <c r="I108" s="25"/>
      <c r="J108" s="25"/>
      <c r="K108"/>
      <c r="L108"/>
      <c r="M108"/>
      <c r="N108"/>
    </row>
    <row r="109" spans="1:14" ht="15" outlineLevel="1" x14ac:dyDescent="0.2">
      <c r="A109" s="125" t="s">
        <v>90</v>
      </c>
      <c r="K109"/>
      <c r="L109"/>
      <c r="M109"/>
      <c r="N109"/>
    </row>
    <row r="110" spans="1:14" ht="15" outlineLevel="1" x14ac:dyDescent="0.2">
      <c r="A110" s="43" t="s">
        <v>91</v>
      </c>
      <c r="D110" s="74">
        <f>Assumptions!B65</f>
        <v>30</v>
      </c>
      <c r="E110" s="72"/>
      <c r="F110" s="72"/>
      <c r="G110" s="72"/>
      <c r="H110" s="72"/>
      <c r="I110" s="72"/>
      <c r="J110" s="72"/>
      <c r="K110"/>
      <c r="L110"/>
      <c r="M110"/>
      <c r="N110"/>
    </row>
    <row r="111" spans="1:14" ht="15" outlineLevel="1" x14ac:dyDescent="0.2">
      <c r="K111"/>
      <c r="L111"/>
      <c r="M111"/>
      <c r="N111"/>
    </row>
    <row r="112" spans="1:14" ht="15" outlineLevel="1" x14ac:dyDescent="0.2">
      <c r="A112" s="125" t="s">
        <v>97</v>
      </c>
      <c r="E112" s="72"/>
      <c r="F112" s="72"/>
      <c r="G112" s="72"/>
      <c r="H112" s="72"/>
      <c r="I112" s="72"/>
      <c r="J112" s="72"/>
      <c r="K112"/>
      <c r="L112"/>
      <c r="M112"/>
      <c r="N112"/>
    </row>
    <row r="113" spans="1:14" ht="15" outlineLevel="1" x14ac:dyDescent="0.2">
      <c r="A113" s="43" t="s">
        <v>40</v>
      </c>
      <c r="B113" s="32"/>
      <c r="D113" s="89">
        <f>Assumptions!B68</f>
        <v>0.1</v>
      </c>
      <c r="E113" s="72"/>
      <c r="F113" s="72"/>
      <c r="G113" s="72"/>
      <c r="H113" s="72"/>
      <c r="I113" s="72"/>
      <c r="J113" s="72"/>
      <c r="K113"/>
      <c r="L113"/>
      <c r="M113"/>
      <c r="N113"/>
    </row>
    <row r="114" spans="1:14" ht="15" outlineLevel="1" x14ac:dyDescent="0.2">
      <c r="A114" s="43" t="s">
        <v>92</v>
      </c>
      <c r="B114" s="32"/>
      <c r="D114" s="87">
        <f>Assumptions!B69</f>
        <v>5</v>
      </c>
      <c r="E114" s="72"/>
      <c r="F114" s="72"/>
      <c r="G114" s="72"/>
      <c r="H114" s="72"/>
      <c r="I114" s="72"/>
      <c r="J114" s="72"/>
      <c r="K114"/>
      <c r="L114"/>
      <c r="M114"/>
      <c r="N114"/>
    </row>
    <row r="115" spans="1:14" ht="15" outlineLevel="1" x14ac:dyDescent="0.2">
      <c r="A115" s="37"/>
      <c r="B115" s="32"/>
      <c r="E115" s="72"/>
      <c r="F115" s="72"/>
      <c r="G115" s="72"/>
      <c r="H115" s="72"/>
      <c r="I115" s="72"/>
      <c r="J115" s="72"/>
      <c r="K115"/>
      <c r="L115"/>
      <c r="M115"/>
      <c r="N115"/>
    </row>
    <row r="116" spans="1:14" ht="15" outlineLevel="1" x14ac:dyDescent="0.2">
      <c r="A116" s="43" t="s">
        <v>93</v>
      </c>
      <c r="B116" s="32"/>
      <c r="E116" s="3">
        <f>E134*$D$113</f>
        <v>189062.5</v>
      </c>
      <c r="F116" s="3">
        <f t="shared" ref="F116:J116" si="15">F134*$D$113</f>
        <v>358746.09375</v>
      </c>
      <c r="G116" s="3">
        <f t="shared" si="15"/>
        <v>606858.01171875</v>
      </c>
      <c r="H116" s="3">
        <f t="shared" si="15"/>
        <v>965016.9628945312</v>
      </c>
      <c r="I116" s="3">
        <f t="shared" si="15"/>
        <v>1477044.1807902777</v>
      </c>
      <c r="J116" s="3">
        <f t="shared" si="15"/>
        <v>2203605.7761246427</v>
      </c>
      <c r="K116"/>
      <c r="L116"/>
      <c r="M116"/>
      <c r="N116"/>
    </row>
    <row r="117" spans="1:14" ht="15" outlineLevel="1" x14ac:dyDescent="0.2">
      <c r="K117"/>
      <c r="L117"/>
      <c r="M117"/>
      <c r="N117"/>
    </row>
    <row r="118" spans="1:14" ht="15" outlineLevel="1" x14ac:dyDescent="0.2">
      <c r="A118" s="126" t="s">
        <v>195</v>
      </c>
      <c r="B118" s="101"/>
      <c r="C118" s="101"/>
      <c r="D118" s="101"/>
      <c r="E118" s="101"/>
      <c r="F118" s="101"/>
      <c r="G118" s="101"/>
      <c r="H118" s="101"/>
      <c r="I118" s="101"/>
      <c r="J118" s="101"/>
      <c r="K118"/>
      <c r="L118"/>
      <c r="M118"/>
      <c r="N118"/>
    </row>
    <row r="119" spans="1:14" ht="15" outlineLevel="1" x14ac:dyDescent="0.2">
      <c r="A119" s="43" t="s">
        <v>43</v>
      </c>
      <c r="B119" s="32"/>
      <c r="D119" s="74">
        <f>Assumptions!B72</f>
        <v>0</v>
      </c>
      <c r="E119" s="72"/>
      <c r="F119" s="72"/>
      <c r="G119" s="72"/>
      <c r="H119" s="72"/>
      <c r="I119" s="72"/>
      <c r="J119" s="72"/>
      <c r="K119"/>
      <c r="L119"/>
      <c r="M119"/>
      <c r="N119"/>
    </row>
    <row r="120" spans="1:14" ht="15" outlineLevel="1" x14ac:dyDescent="0.2">
      <c r="A120" s="43" t="s">
        <v>44</v>
      </c>
      <c r="B120" s="32"/>
      <c r="D120" s="84">
        <f>Assumptions!B73</f>
        <v>2026</v>
      </c>
      <c r="E120" s="72"/>
      <c r="F120" s="72"/>
      <c r="G120" s="72"/>
      <c r="H120" s="72"/>
      <c r="I120" s="72"/>
      <c r="J120" s="72"/>
      <c r="K120"/>
      <c r="L120"/>
      <c r="M120"/>
      <c r="N120"/>
    </row>
    <row r="121" spans="1:14" ht="15" outlineLevel="1" x14ac:dyDescent="0.2">
      <c r="A121" s="43" t="s">
        <v>94</v>
      </c>
      <c r="B121" s="32"/>
      <c r="D121" s="88">
        <f>Assumptions!B74</f>
        <v>0.03</v>
      </c>
      <c r="E121" s="94"/>
      <c r="F121" s="95"/>
      <c r="G121" s="95"/>
      <c r="H121" s="95"/>
      <c r="I121" s="95"/>
      <c r="J121" s="95"/>
      <c r="K121"/>
      <c r="L121"/>
      <c r="M121"/>
      <c r="N121"/>
    </row>
    <row r="122" spans="1:14" ht="15" outlineLevel="1" x14ac:dyDescent="0.2">
      <c r="A122" s="43" t="s">
        <v>45</v>
      </c>
      <c r="B122" s="32"/>
      <c r="D122" s="87">
        <f>Assumptions!B75</f>
        <v>5</v>
      </c>
      <c r="E122" s="72"/>
      <c r="F122" s="72"/>
      <c r="G122" s="72"/>
      <c r="H122" s="72"/>
      <c r="I122" s="72"/>
      <c r="J122" s="72"/>
      <c r="K122"/>
      <c r="L122"/>
      <c r="M122"/>
      <c r="N122"/>
    </row>
    <row r="123" spans="1:14" ht="15" outlineLevel="1" x14ac:dyDescent="0.2">
      <c r="A123" s="31"/>
      <c r="B123" s="32"/>
      <c r="D123" s="87"/>
      <c r="E123" s="72"/>
      <c r="F123" s="72"/>
      <c r="G123" s="72"/>
      <c r="H123" s="72"/>
      <c r="I123" s="72"/>
      <c r="J123" s="72"/>
      <c r="K123" s="68"/>
      <c r="L123"/>
      <c r="M123"/>
      <c r="N123"/>
    </row>
    <row r="124" spans="1:14" ht="15" outlineLevel="1" x14ac:dyDescent="0.2">
      <c r="A124" s="43" t="s">
        <v>95</v>
      </c>
      <c r="B124" s="32"/>
      <c r="D124" s="38">
        <f>PMT(D121,D122,D119,0)</f>
        <v>0</v>
      </c>
      <c r="E124" s="72"/>
      <c r="F124" s="72"/>
      <c r="G124" s="72"/>
      <c r="H124" s="72"/>
      <c r="I124" s="72"/>
      <c r="J124" s="72"/>
      <c r="K124" s="68"/>
      <c r="L124"/>
      <c r="M124"/>
      <c r="N124"/>
    </row>
    <row r="125" spans="1:14" ht="15" outlineLevel="1" x14ac:dyDescent="0.2">
      <c r="D125" s="87"/>
      <c r="E125" s="72"/>
      <c r="F125" s="72"/>
      <c r="G125" s="72"/>
      <c r="H125" s="72"/>
      <c r="I125" s="72"/>
      <c r="J125" s="72"/>
      <c r="K125" s="68"/>
      <c r="L125"/>
      <c r="M125"/>
      <c r="N125"/>
    </row>
    <row r="126" spans="1:14" ht="15" outlineLevel="1" x14ac:dyDescent="0.2">
      <c r="A126" s="126" t="s">
        <v>196</v>
      </c>
      <c r="B126" s="101"/>
      <c r="C126" s="101"/>
      <c r="D126" s="102"/>
      <c r="E126" s="103"/>
      <c r="F126" s="103"/>
      <c r="G126" s="103"/>
      <c r="H126" s="103"/>
      <c r="I126" s="103"/>
      <c r="J126" s="103"/>
      <c r="K126" s="68"/>
      <c r="L126"/>
      <c r="M126"/>
      <c r="N126"/>
    </row>
    <row r="127" spans="1:14" ht="15" outlineLevel="1" x14ac:dyDescent="0.2">
      <c r="A127" s="43" t="s">
        <v>41</v>
      </c>
      <c r="D127" s="87">
        <f>Assumptions!B76</f>
        <v>500000</v>
      </c>
      <c r="E127" s="72"/>
      <c r="F127" s="72"/>
      <c r="G127" s="72"/>
      <c r="H127" s="72"/>
      <c r="I127" s="72"/>
      <c r="J127" s="72"/>
      <c r="K127" s="68"/>
      <c r="L127"/>
      <c r="M127"/>
      <c r="N127"/>
    </row>
    <row r="128" spans="1:14" ht="15" outlineLevel="1" x14ac:dyDescent="0.2">
      <c r="D128" s="98"/>
      <c r="E128" s="72"/>
      <c r="F128" s="72"/>
      <c r="G128" s="72"/>
      <c r="H128" s="72"/>
      <c r="I128" s="72"/>
      <c r="J128" s="72"/>
      <c r="K128" s="68"/>
      <c r="L128"/>
      <c r="M128"/>
      <c r="N128"/>
    </row>
    <row r="129" spans="1:14" ht="15" outlineLevel="1" x14ac:dyDescent="0.2">
      <c r="A129" s="126" t="s">
        <v>14</v>
      </c>
      <c r="B129" s="101"/>
      <c r="C129" s="101"/>
      <c r="D129" s="104"/>
      <c r="E129" s="103"/>
      <c r="F129" s="103"/>
      <c r="G129" s="103"/>
      <c r="H129" s="103"/>
      <c r="I129" s="103"/>
      <c r="J129" s="103"/>
      <c r="K129" s="68"/>
      <c r="L129"/>
      <c r="M129"/>
      <c r="N129"/>
    </row>
    <row r="130" spans="1:14" ht="15" outlineLevel="1" x14ac:dyDescent="0.2">
      <c r="A130" s="43" t="s">
        <v>96</v>
      </c>
      <c r="D130" s="75">
        <f>Assumptions!B79</f>
        <v>0.25</v>
      </c>
      <c r="E130" s="92"/>
      <c r="F130" s="92"/>
      <c r="G130" s="92"/>
      <c r="H130" s="92"/>
      <c r="I130" s="92"/>
      <c r="J130" s="92"/>
      <c r="K130" s="68"/>
      <c r="L130"/>
      <c r="M130"/>
      <c r="N130"/>
    </row>
    <row r="131" spans="1:14" ht="15" x14ac:dyDescent="0.2">
      <c r="K131"/>
      <c r="L131"/>
      <c r="M131"/>
      <c r="N131"/>
    </row>
    <row r="132" spans="1:14" s="12" customFormat="1" ht="19" customHeight="1" x14ac:dyDescent="0.2">
      <c r="A132" s="123" t="s">
        <v>8</v>
      </c>
      <c r="B132" s="11"/>
      <c r="C132" s="11"/>
      <c r="D132" s="11"/>
      <c r="E132" s="11"/>
      <c r="F132" s="11"/>
      <c r="G132" s="11"/>
      <c r="H132" s="11"/>
      <c r="I132" s="11"/>
      <c r="J132" s="11"/>
      <c r="K132"/>
      <c r="L132"/>
      <c r="M132"/>
      <c r="N132"/>
    </row>
    <row r="133" spans="1:14" ht="15" outlineLevel="1" x14ac:dyDescent="0.2">
      <c r="K133"/>
      <c r="L133"/>
      <c r="M133"/>
      <c r="N133"/>
    </row>
    <row r="134" spans="1:14" ht="15" outlineLevel="1" x14ac:dyDescent="0.2">
      <c r="A134" s="127" t="s">
        <v>111</v>
      </c>
      <c r="B134" s="17"/>
      <c r="C134" s="17"/>
      <c r="D134" s="17"/>
      <c r="E134" s="41">
        <f t="shared" ref="E134:J134" si="16">E53*E41</f>
        <v>1890625</v>
      </c>
      <c r="F134" s="41">
        <f t="shared" si="16"/>
        <v>3587460.9375</v>
      </c>
      <c r="G134" s="41">
        <f t="shared" si="16"/>
        <v>6068580.1171875</v>
      </c>
      <c r="H134" s="41">
        <f t="shared" si="16"/>
        <v>9650169.6289453115</v>
      </c>
      <c r="I134" s="41">
        <f t="shared" si="16"/>
        <v>14770441.807902776</v>
      </c>
      <c r="J134" s="41">
        <f t="shared" si="16"/>
        <v>22036057.761246424</v>
      </c>
      <c r="K134"/>
      <c r="L134"/>
      <c r="M134"/>
      <c r="N134"/>
    </row>
    <row r="135" spans="1:14" ht="15" outlineLevel="1" x14ac:dyDescent="0.2">
      <c r="A135" s="44" t="s">
        <v>203</v>
      </c>
      <c r="E135" s="3">
        <f>-(E134*$D$48)</f>
        <v>-189062.5</v>
      </c>
      <c r="F135" s="3">
        <f t="shared" ref="F135:J135" si="17">-(F134*$D$48)</f>
        <v>-358746.09375</v>
      </c>
      <c r="G135" s="3">
        <f t="shared" si="17"/>
        <v>-606858.01171875</v>
      </c>
      <c r="H135" s="3">
        <f t="shared" si="17"/>
        <v>-965016.9628945312</v>
      </c>
      <c r="I135" s="3">
        <f t="shared" si="17"/>
        <v>-1477044.1807902777</v>
      </c>
      <c r="J135" s="3">
        <f t="shared" si="17"/>
        <v>-2203605.7761246427</v>
      </c>
      <c r="K135"/>
      <c r="L135"/>
      <c r="M135"/>
      <c r="N135"/>
    </row>
    <row r="136" spans="1:14" ht="15" outlineLevel="1" x14ac:dyDescent="0.2">
      <c r="A136" s="44" t="s">
        <v>237</v>
      </c>
      <c r="E136" s="3">
        <f t="shared" ref="E136:J136" si="18">-E134*$D$49</f>
        <v>-189062.5</v>
      </c>
      <c r="F136" s="3">
        <f t="shared" si="18"/>
        <v>-358746.09375</v>
      </c>
      <c r="G136" s="3">
        <f t="shared" si="18"/>
        <v>-606858.01171875</v>
      </c>
      <c r="H136" s="3">
        <f t="shared" si="18"/>
        <v>-965016.9628945312</v>
      </c>
      <c r="I136" s="3">
        <f t="shared" si="18"/>
        <v>-1477044.1807902777</v>
      </c>
      <c r="J136" s="3">
        <f t="shared" si="18"/>
        <v>-2203605.7761246427</v>
      </c>
      <c r="K136"/>
      <c r="L136"/>
      <c r="M136"/>
      <c r="N136"/>
    </row>
    <row r="137" spans="1:14" ht="15" outlineLevel="1" x14ac:dyDescent="0.2">
      <c r="A137" s="44" t="s">
        <v>238</v>
      </c>
      <c r="E137" s="3">
        <f t="shared" ref="E137:J137" si="19">-E134*$D$51</f>
        <v>0</v>
      </c>
      <c r="F137" s="3">
        <f t="shared" si="19"/>
        <v>0</v>
      </c>
      <c r="G137" s="3">
        <f t="shared" si="19"/>
        <v>0</v>
      </c>
      <c r="H137" s="3">
        <f t="shared" si="19"/>
        <v>0</v>
      </c>
      <c r="I137" s="3">
        <f t="shared" si="19"/>
        <v>0</v>
      </c>
      <c r="J137" s="3">
        <f t="shared" si="19"/>
        <v>0</v>
      </c>
      <c r="K137"/>
      <c r="L137"/>
      <c r="M137"/>
      <c r="N137"/>
    </row>
    <row r="138" spans="1:14" ht="15" outlineLevel="1" x14ac:dyDescent="0.2">
      <c r="A138" s="44" t="s">
        <v>239</v>
      </c>
      <c r="E138" s="3">
        <f t="shared" ref="E138:J138" si="20">-E134*$D$50</f>
        <v>-54828.125</v>
      </c>
      <c r="F138" s="3">
        <f t="shared" si="20"/>
        <v>-104036.3671875</v>
      </c>
      <c r="G138" s="3">
        <f t="shared" si="20"/>
        <v>-175988.8233984375</v>
      </c>
      <c r="H138" s="3">
        <f t="shared" si="20"/>
        <v>-279854.91923941404</v>
      </c>
      <c r="I138" s="3">
        <f t="shared" si="20"/>
        <v>-428342.81242918054</v>
      </c>
      <c r="J138" s="3">
        <f t="shared" si="20"/>
        <v>-639045.67507614638</v>
      </c>
      <c r="K138"/>
      <c r="L138"/>
      <c r="M138"/>
      <c r="N138"/>
    </row>
    <row r="139" spans="1:14" ht="15" outlineLevel="1" x14ac:dyDescent="0.2">
      <c r="A139" s="129" t="s">
        <v>112</v>
      </c>
      <c r="B139" s="15"/>
      <c r="C139" s="15"/>
      <c r="D139" s="15"/>
      <c r="E139" s="15">
        <f t="shared" ref="E139:J139" si="21">SUM(E134:E138)</f>
        <v>1457671.875</v>
      </c>
      <c r="F139" s="15">
        <f t="shared" si="21"/>
        <v>2765932.3828125</v>
      </c>
      <c r="G139" s="15">
        <f t="shared" si="21"/>
        <v>4678875.2703515626</v>
      </c>
      <c r="H139" s="15">
        <f t="shared" si="21"/>
        <v>7440280.7839168357</v>
      </c>
      <c r="I139" s="15">
        <f t="shared" si="21"/>
        <v>11388010.633893041</v>
      </c>
      <c r="J139" s="15">
        <f t="shared" si="21"/>
        <v>16989800.533920996</v>
      </c>
      <c r="K139"/>
      <c r="L139"/>
      <c r="M139"/>
      <c r="N139"/>
    </row>
    <row r="140" spans="1:14" ht="15" outlineLevel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/>
      <c r="L140"/>
      <c r="M140"/>
      <c r="N140"/>
    </row>
    <row r="141" spans="1:14" ht="15" outlineLevel="1" x14ac:dyDescent="0.2">
      <c r="A141" s="130" t="s">
        <v>157</v>
      </c>
      <c r="B141" s="17"/>
      <c r="C141" s="17"/>
      <c r="D141" s="17"/>
      <c r="E141" s="45">
        <f>$D$46</f>
        <v>0.5</v>
      </c>
      <c r="F141" s="45">
        <f>$D$46*(1-$D$47)^1</f>
        <v>0.495</v>
      </c>
      <c r="G141" s="45">
        <f>$D$46*(1-$D$47)^2</f>
        <v>0.49004999999999999</v>
      </c>
      <c r="H141" s="45">
        <f>$D$46*(1-$D$47)^3</f>
        <v>0.48514949999999996</v>
      </c>
      <c r="I141" s="45">
        <f>$D$46*(1-$D$47)^4</f>
        <v>0.48029800499999997</v>
      </c>
      <c r="J141" s="45">
        <f>$D$46*(1-$D$47)^5</f>
        <v>0.47549502494999996</v>
      </c>
      <c r="K141"/>
      <c r="L141"/>
      <c r="M141"/>
      <c r="N141"/>
    </row>
    <row r="142" spans="1:14" ht="15" outlineLevel="1" x14ac:dyDescent="0.2">
      <c r="A142" s="44" t="s">
        <v>113</v>
      </c>
      <c r="E142" s="3">
        <f t="shared" ref="E142:J142" si="22">E134*E141</f>
        <v>945312.5</v>
      </c>
      <c r="F142" s="3">
        <f t="shared" si="22"/>
        <v>1775793.1640625</v>
      </c>
      <c r="G142" s="3">
        <f t="shared" si="22"/>
        <v>2973907.6864277343</v>
      </c>
      <c r="H142" s="3">
        <f t="shared" si="22"/>
        <v>4681774.9703980032</v>
      </c>
      <c r="I142" s="3">
        <f t="shared" si="22"/>
        <v>7094213.7333042957</v>
      </c>
      <c r="J142" s="3">
        <f t="shared" si="22"/>
        <v>10478035.834983509</v>
      </c>
      <c r="K142"/>
      <c r="L142"/>
      <c r="M142"/>
      <c r="N142"/>
    </row>
    <row r="143" spans="1:14" ht="15" outlineLevel="1" x14ac:dyDescent="0.2">
      <c r="A143" s="129" t="s">
        <v>114</v>
      </c>
      <c r="B143" s="19"/>
      <c r="C143" s="19"/>
      <c r="D143" s="19"/>
      <c r="E143" s="15">
        <f>E139-E142</f>
        <v>512359.375</v>
      </c>
      <c r="F143" s="15">
        <f t="shared" ref="F143:J143" si="23">F139-F142</f>
        <v>990139.21875</v>
      </c>
      <c r="G143" s="15">
        <f t="shared" si="23"/>
        <v>1704967.5839238283</v>
      </c>
      <c r="H143" s="15">
        <f t="shared" si="23"/>
        <v>2758505.8135188324</v>
      </c>
      <c r="I143" s="15">
        <f t="shared" si="23"/>
        <v>4293796.9005887453</v>
      </c>
      <c r="J143" s="15">
        <f t="shared" si="23"/>
        <v>6511764.6989374869</v>
      </c>
      <c r="K143"/>
      <c r="L143"/>
      <c r="M143"/>
      <c r="N143"/>
    </row>
    <row r="144" spans="1:14" ht="15" outlineLevel="1" x14ac:dyDescent="0.2">
      <c r="A144" s="130" t="s">
        <v>115</v>
      </c>
      <c r="B144" s="16"/>
      <c r="C144" s="16"/>
      <c r="D144" s="16"/>
      <c r="E144" s="18">
        <f t="shared" ref="E144:J144" si="24">E143/E$139</f>
        <v>0.35149156939040205</v>
      </c>
      <c r="F144" s="18">
        <f t="shared" si="24"/>
        <v>0.35797665369649806</v>
      </c>
      <c r="G144" s="18">
        <f t="shared" si="24"/>
        <v>0.36439688715953311</v>
      </c>
      <c r="H144" s="18">
        <f t="shared" si="24"/>
        <v>0.37075291828793783</v>
      </c>
      <c r="I144" s="18">
        <f t="shared" si="24"/>
        <v>0.37704538910505847</v>
      </c>
      <c r="J144" s="18">
        <f t="shared" si="24"/>
        <v>0.38327493521400791</v>
      </c>
      <c r="K144"/>
      <c r="L144"/>
      <c r="M144"/>
      <c r="N144"/>
    </row>
    <row r="145" spans="1:14" ht="15" outlineLevel="1" x14ac:dyDescent="0.2">
      <c r="A145" s="16"/>
      <c r="B145" s="16"/>
      <c r="C145" s="16"/>
      <c r="D145" s="16"/>
      <c r="E145" s="18"/>
      <c r="F145" s="18"/>
      <c r="G145" s="18"/>
      <c r="H145" s="18"/>
      <c r="I145" s="18"/>
      <c r="J145" s="18"/>
      <c r="K145"/>
      <c r="L145"/>
      <c r="M145"/>
      <c r="N145"/>
    </row>
    <row r="146" spans="1:14" ht="15" outlineLevel="1" x14ac:dyDescent="0.2">
      <c r="A146" s="127" t="s">
        <v>116</v>
      </c>
      <c r="K146"/>
      <c r="L146"/>
      <c r="M146"/>
      <c r="N146"/>
    </row>
    <row r="147" spans="1:14" ht="15" outlineLevel="1" x14ac:dyDescent="0.2">
      <c r="A147" s="44" t="s">
        <v>10</v>
      </c>
      <c r="E147" s="3">
        <f t="shared" ref="E147:J147" si="25">E60*E19</f>
        <v>71875</v>
      </c>
      <c r="F147" s="3">
        <f t="shared" si="25"/>
        <v>90562.500000000015</v>
      </c>
      <c r="G147" s="3">
        <f t="shared" si="25"/>
        <v>114108.75000000001</v>
      </c>
      <c r="H147" s="3">
        <f t="shared" si="25"/>
        <v>143777.02500000002</v>
      </c>
      <c r="I147" s="3">
        <f t="shared" si="25"/>
        <v>181159.0515</v>
      </c>
      <c r="J147" s="3">
        <f t="shared" si="25"/>
        <v>228260.40489000001</v>
      </c>
      <c r="K147"/>
      <c r="L147"/>
      <c r="M147"/>
      <c r="N147"/>
    </row>
    <row r="148" spans="1:14" ht="15" outlineLevel="1" x14ac:dyDescent="0.2">
      <c r="A148" s="44" t="s">
        <v>240</v>
      </c>
      <c r="E148" s="3">
        <f t="shared" ref="E148:J148" si="26">E72*E41</f>
        <v>128562.5</v>
      </c>
      <c r="F148" s="3">
        <f t="shared" si="26"/>
        <v>226205.71875</v>
      </c>
      <c r="G148" s="3">
        <f t="shared" si="26"/>
        <v>354822.35641874996</v>
      </c>
      <c r="H148" s="3">
        <f t="shared" si="26"/>
        <v>523198.29480719625</v>
      </c>
      <c r="I148" s="3">
        <f t="shared" si="26"/>
        <v>742561.3575979853</v>
      </c>
      <c r="J148" s="3">
        <f t="shared" si="26"/>
        <v>1027259.6928694021</v>
      </c>
      <c r="K148"/>
      <c r="L148"/>
      <c r="M148"/>
      <c r="N148"/>
    </row>
    <row r="149" spans="1:14" ht="15" outlineLevel="1" x14ac:dyDescent="0.2">
      <c r="A149" s="44" t="s">
        <v>241</v>
      </c>
      <c r="E149" s="3">
        <f t="shared" ref="E149:J149" si="27">E41*$D$67</f>
        <v>11343.75</v>
      </c>
      <c r="F149" s="3">
        <f t="shared" si="27"/>
        <v>19567.96875</v>
      </c>
      <c r="G149" s="3">
        <f t="shared" si="27"/>
        <v>30092.1328125</v>
      </c>
      <c r="H149" s="3">
        <f t="shared" si="27"/>
        <v>43501.891640624999</v>
      </c>
      <c r="I149" s="3">
        <f t="shared" si="27"/>
        <v>60530.462978906253</v>
      </c>
      <c r="J149" s="3">
        <f t="shared" si="27"/>
        <v>82095.94884072656</v>
      </c>
      <c r="K149"/>
      <c r="L149"/>
      <c r="M149"/>
      <c r="N149"/>
    </row>
    <row r="150" spans="1:14" ht="15" outlineLevel="1" x14ac:dyDescent="0.2">
      <c r="A150" s="44" t="s">
        <v>242</v>
      </c>
      <c r="E150" s="3">
        <f t="shared" ref="E150:J150" si="28">E41*$D$68</f>
        <v>11343.75</v>
      </c>
      <c r="F150" s="3">
        <f t="shared" si="28"/>
        <v>19567.96875</v>
      </c>
      <c r="G150" s="3">
        <f t="shared" si="28"/>
        <v>30092.1328125</v>
      </c>
      <c r="H150" s="3">
        <f t="shared" si="28"/>
        <v>43501.891640624999</v>
      </c>
      <c r="I150" s="3">
        <f t="shared" si="28"/>
        <v>60530.462978906253</v>
      </c>
      <c r="J150" s="3">
        <f t="shared" si="28"/>
        <v>82095.94884072656</v>
      </c>
      <c r="K150"/>
      <c r="L150"/>
      <c r="M150"/>
      <c r="N150"/>
    </row>
    <row r="151" spans="1:14" ht="15" outlineLevel="1" x14ac:dyDescent="0.2">
      <c r="A151" s="129" t="s">
        <v>117</v>
      </c>
      <c r="B151" s="15"/>
      <c r="C151" s="15"/>
      <c r="D151" s="15"/>
      <c r="E151" s="15">
        <f t="shared" ref="E151:J151" si="29">SUM(E147:E150)</f>
        <v>223125</v>
      </c>
      <c r="F151" s="15">
        <f t="shared" si="29"/>
        <v>355904.15625</v>
      </c>
      <c r="G151" s="15">
        <f t="shared" si="29"/>
        <v>529115.37204375002</v>
      </c>
      <c r="H151" s="15">
        <f t="shared" si="29"/>
        <v>753979.10308844619</v>
      </c>
      <c r="I151" s="15">
        <f t="shared" si="29"/>
        <v>1044781.3350557978</v>
      </c>
      <c r="J151" s="15">
        <f t="shared" si="29"/>
        <v>1419711.9954408554</v>
      </c>
      <c r="K151"/>
      <c r="L151"/>
      <c r="M151"/>
      <c r="N151"/>
    </row>
    <row r="152" spans="1:14" ht="15" outlineLevel="1" x14ac:dyDescent="0.2">
      <c r="A152" s="129" t="s">
        <v>118</v>
      </c>
      <c r="B152" s="15"/>
      <c r="C152" s="15"/>
      <c r="D152" s="15"/>
      <c r="E152" s="15">
        <f>E143-E151</f>
        <v>289234.375</v>
      </c>
      <c r="F152" s="15">
        <f t="shared" ref="F152:J152" si="30">F143-F151</f>
        <v>634235.0625</v>
      </c>
      <c r="G152" s="15">
        <f t="shared" si="30"/>
        <v>1175852.2118800783</v>
      </c>
      <c r="H152" s="15">
        <f t="shared" si="30"/>
        <v>2004526.7104303862</v>
      </c>
      <c r="I152" s="15">
        <f t="shared" si="30"/>
        <v>3249015.5655329474</v>
      </c>
      <c r="J152" s="15">
        <f t="shared" si="30"/>
        <v>5092052.7034966312</v>
      </c>
      <c r="K152"/>
      <c r="L152"/>
      <c r="M152"/>
      <c r="N152"/>
    </row>
    <row r="153" spans="1:14" ht="15" outlineLevel="1" x14ac:dyDescent="0.2">
      <c r="A153" s="130" t="s">
        <v>9</v>
      </c>
      <c r="B153" s="17"/>
      <c r="C153" s="17"/>
      <c r="D153" s="17"/>
      <c r="E153" s="18">
        <f t="shared" ref="E153:J153" si="31">E152/E$139</f>
        <v>0.19842214147131021</v>
      </c>
      <c r="F153" s="18">
        <f t="shared" si="31"/>
        <v>0.22930244659671936</v>
      </c>
      <c r="G153" s="18">
        <f t="shared" si="31"/>
        <v>0.25131086937304203</v>
      </c>
      <c r="H153" s="18">
        <f t="shared" si="31"/>
        <v>0.26941546544364825</v>
      </c>
      <c r="I153" s="18">
        <f t="shared" si="31"/>
        <v>0.28530141654971897</v>
      </c>
      <c r="J153" s="18">
        <f t="shared" si="31"/>
        <v>0.29971232995526287</v>
      </c>
      <c r="K153"/>
      <c r="L153"/>
      <c r="M153"/>
      <c r="N153"/>
    </row>
    <row r="154" spans="1:14" ht="15" outlineLevel="1" x14ac:dyDescent="0.2">
      <c r="K154"/>
      <c r="L154"/>
      <c r="M154"/>
      <c r="N154"/>
    </row>
    <row r="155" spans="1:14" ht="15" outlineLevel="1" x14ac:dyDescent="0.2">
      <c r="A155" s="127" t="s">
        <v>120</v>
      </c>
      <c r="K155"/>
      <c r="L155"/>
      <c r="M155"/>
      <c r="N155"/>
    </row>
    <row r="156" spans="1:14" ht="15" outlineLevel="1" x14ac:dyDescent="0.2">
      <c r="A156" s="44" t="s">
        <v>11</v>
      </c>
      <c r="E156" s="3">
        <f t="shared" ref="E156:J156" si="32">E79</f>
        <v>0</v>
      </c>
      <c r="F156" s="3">
        <f t="shared" si="32"/>
        <v>150000</v>
      </c>
      <c r="G156" s="3">
        <f t="shared" si="32"/>
        <v>157500</v>
      </c>
      <c r="H156" s="3">
        <f t="shared" si="32"/>
        <v>165375</v>
      </c>
      <c r="I156" s="3">
        <f t="shared" si="32"/>
        <v>173643.75000000003</v>
      </c>
      <c r="J156" s="3">
        <f t="shared" si="32"/>
        <v>182325.9375</v>
      </c>
      <c r="K156"/>
      <c r="L156"/>
      <c r="M156"/>
      <c r="N156"/>
    </row>
    <row r="157" spans="1:14" ht="15" outlineLevel="1" x14ac:dyDescent="0.2">
      <c r="A157" s="44" t="s">
        <v>119</v>
      </c>
      <c r="E157" s="3">
        <f t="shared" ref="E157:J157" si="33">E98</f>
        <v>278000</v>
      </c>
      <c r="F157" s="3">
        <f t="shared" si="33"/>
        <v>413150</v>
      </c>
      <c r="G157" s="3">
        <f t="shared" si="33"/>
        <v>428807.5</v>
      </c>
      <c r="H157" s="3">
        <f t="shared" si="33"/>
        <v>445247.875</v>
      </c>
      <c r="I157" s="3">
        <f t="shared" si="33"/>
        <v>462510.26874999999</v>
      </c>
      <c r="J157" s="3">
        <f t="shared" si="33"/>
        <v>480635.78218749998</v>
      </c>
      <c r="K157"/>
      <c r="L157"/>
      <c r="M157"/>
      <c r="N157"/>
    </row>
    <row r="158" spans="1:14" ht="15" outlineLevel="1" x14ac:dyDescent="0.2">
      <c r="A158" s="129" t="s">
        <v>110</v>
      </c>
      <c r="B158" s="15"/>
      <c r="C158" s="15"/>
      <c r="D158" s="15"/>
      <c r="E158" s="15">
        <f>SUM(E156:E157)</f>
        <v>278000</v>
      </c>
      <c r="F158" s="15">
        <f t="shared" ref="F158:J158" si="34">SUM(F156:F157)</f>
        <v>563150</v>
      </c>
      <c r="G158" s="15">
        <f t="shared" si="34"/>
        <v>586307.5</v>
      </c>
      <c r="H158" s="15">
        <f t="shared" si="34"/>
        <v>610622.875</v>
      </c>
      <c r="I158" s="15">
        <f t="shared" si="34"/>
        <v>636154.01875000005</v>
      </c>
      <c r="J158" s="15">
        <f t="shared" si="34"/>
        <v>662961.71968750004</v>
      </c>
      <c r="K158"/>
      <c r="L158"/>
      <c r="M158"/>
      <c r="N158"/>
    </row>
    <row r="159" spans="1:14" ht="15" outlineLevel="1" x14ac:dyDescent="0.2">
      <c r="A159" s="129" t="s">
        <v>12</v>
      </c>
      <c r="B159" s="15"/>
      <c r="C159" s="15"/>
      <c r="D159" s="15"/>
      <c r="E159" s="15">
        <f>E152-E158</f>
        <v>11234.375</v>
      </c>
      <c r="F159" s="15">
        <f t="shared" ref="F159:J159" si="35">F152-F158</f>
        <v>71085.0625</v>
      </c>
      <c r="G159" s="15">
        <f t="shared" si="35"/>
        <v>589544.71188007831</v>
      </c>
      <c r="H159" s="15">
        <f t="shared" si="35"/>
        <v>1393903.8354303862</v>
      </c>
      <c r="I159" s="15">
        <f t="shared" si="35"/>
        <v>2612861.5467829471</v>
      </c>
      <c r="J159" s="15">
        <f t="shared" si="35"/>
        <v>4429090.9838091312</v>
      </c>
      <c r="K159"/>
      <c r="L159"/>
      <c r="M159"/>
      <c r="N159"/>
    </row>
    <row r="160" spans="1:14" ht="15" outlineLevel="1" x14ac:dyDescent="0.2">
      <c r="A160" s="130" t="s">
        <v>9</v>
      </c>
      <c r="B160" s="17"/>
      <c r="C160" s="17"/>
      <c r="D160" s="17"/>
      <c r="E160" s="18">
        <f t="shared" ref="E160:J160" si="36">E159/E$139</f>
        <v>7.7070671340215028E-3</v>
      </c>
      <c r="F160" s="18">
        <f t="shared" si="36"/>
        <v>2.5700217019664861E-2</v>
      </c>
      <c r="G160" s="18">
        <f t="shared" si="36"/>
        <v>0.1260013737950704</v>
      </c>
      <c r="H160" s="18">
        <f t="shared" si="36"/>
        <v>0.18734559567207412</v>
      </c>
      <c r="I160" s="18">
        <f t="shared" si="36"/>
        <v>0.22943968273146309</v>
      </c>
      <c r="J160" s="18">
        <f t="shared" si="36"/>
        <v>0.26069117026808097</v>
      </c>
      <c r="K160"/>
      <c r="L160"/>
      <c r="M160"/>
      <c r="N160"/>
    </row>
    <row r="161" spans="1:14" ht="15" outlineLevel="1" x14ac:dyDescent="0.2">
      <c r="K161"/>
      <c r="L161"/>
      <c r="M161"/>
      <c r="N161"/>
    </row>
    <row r="162" spans="1:14" ht="15" outlineLevel="1" x14ac:dyDescent="0.2">
      <c r="A162" s="44" t="s">
        <v>7</v>
      </c>
      <c r="E162" s="3">
        <f>+E239</f>
        <v>37812.5</v>
      </c>
      <c r="F162" s="3">
        <f t="shared" ref="F162:J162" si="37">+F239</f>
        <v>109561.71875</v>
      </c>
      <c r="G162" s="3">
        <f t="shared" si="37"/>
        <v>230933.32109375001</v>
      </c>
      <c r="H162" s="3">
        <f t="shared" si="37"/>
        <v>423936.71367265622</v>
      </c>
      <c r="I162" s="3">
        <f t="shared" si="37"/>
        <v>719345.54983071168</v>
      </c>
      <c r="J162" s="3">
        <f t="shared" si="37"/>
        <v>1267566.5241225134</v>
      </c>
      <c r="K162"/>
      <c r="L162"/>
      <c r="M162"/>
      <c r="N162"/>
    </row>
    <row r="163" spans="1:14" ht="15" outlineLevel="1" x14ac:dyDescent="0.2">
      <c r="A163" s="44" t="s">
        <v>13</v>
      </c>
      <c r="E163" s="3">
        <f>+E249</f>
        <v>0</v>
      </c>
      <c r="F163" s="3">
        <f t="shared" ref="F163:J163" si="38">+F249</f>
        <v>0</v>
      </c>
      <c r="G163" s="3">
        <f t="shared" si="38"/>
        <v>0</v>
      </c>
      <c r="H163" s="3">
        <f t="shared" si="38"/>
        <v>0</v>
      </c>
      <c r="I163" s="3">
        <f t="shared" si="38"/>
        <v>0</v>
      </c>
      <c r="J163" s="3">
        <f t="shared" si="38"/>
        <v>0</v>
      </c>
      <c r="K163"/>
      <c r="L163"/>
      <c r="M163"/>
      <c r="N163"/>
    </row>
    <row r="164" spans="1:14" ht="15" outlineLevel="1" x14ac:dyDescent="0.2">
      <c r="A164" s="129" t="s">
        <v>123</v>
      </c>
      <c r="B164" s="15"/>
      <c r="C164" s="15"/>
      <c r="D164" s="15"/>
      <c r="E164" s="15">
        <f>E159-E162-E163</f>
        <v>-26578.125</v>
      </c>
      <c r="F164" s="15">
        <f t="shared" ref="F164:J164" si="39">F159-F162-F163</f>
        <v>-38476.65625</v>
      </c>
      <c r="G164" s="15">
        <f t="shared" si="39"/>
        <v>358611.39078632829</v>
      </c>
      <c r="H164" s="15">
        <f t="shared" si="39"/>
        <v>969967.12175773003</v>
      </c>
      <c r="I164" s="15">
        <f t="shared" si="39"/>
        <v>1893515.9969522355</v>
      </c>
      <c r="J164" s="15">
        <f t="shared" si="39"/>
        <v>3161524.4596866178</v>
      </c>
      <c r="K164"/>
      <c r="L164"/>
      <c r="M164"/>
      <c r="N164"/>
    </row>
    <row r="165" spans="1:14" ht="15" outlineLevel="1" x14ac:dyDescent="0.2">
      <c r="K165"/>
      <c r="L165"/>
      <c r="M165"/>
      <c r="N165"/>
    </row>
    <row r="166" spans="1:14" ht="15" outlineLevel="1" x14ac:dyDescent="0.2">
      <c r="A166" s="44" t="s">
        <v>14</v>
      </c>
      <c r="E166" s="3">
        <f>IF(E164&lt;0,0,E164*$D$130)</f>
        <v>0</v>
      </c>
      <c r="F166" s="3">
        <f t="shared" ref="F166:J166" si="40">IF(F164&lt;0,0,F164*$D$130)</f>
        <v>0</v>
      </c>
      <c r="G166" s="3">
        <f t="shared" si="40"/>
        <v>89652.847696582074</v>
      </c>
      <c r="H166" s="3">
        <f t="shared" si="40"/>
        <v>242491.78043943251</v>
      </c>
      <c r="I166" s="3">
        <f t="shared" si="40"/>
        <v>473378.99923805887</v>
      </c>
      <c r="J166" s="3">
        <f t="shared" si="40"/>
        <v>790381.11492165446</v>
      </c>
      <c r="K166"/>
      <c r="L166"/>
      <c r="M166"/>
      <c r="N166"/>
    </row>
    <row r="167" spans="1:14" ht="16" outlineLevel="1" thickBot="1" x14ac:dyDescent="0.25">
      <c r="A167" s="131" t="s">
        <v>121</v>
      </c>
      <c r="B167" s="27"/>
      <c r="C167" s="27"/>
      <c r="D167" s="27"/>
      <c r="E167" s="27">
        <f>+E164-E166</f>
        <v>-26578.125</v>
      </c>
      <c r="F167" s="27">
        <f t="shared" ref="F167:J167" si="41">+F164-F166</f>
        <v>-38476.65625</v>
      </c>
      <c r="G167" s="27">
        <f t="shared" si="41"/>
        <v>268958.54308974621</v>
      </c>
      <c r="H167" s="27">
        <f t="shared" si="41"/>
        <v>727475.34131829755</v>
      </c>
      <c r="I167" s="27">
        <f t="shared" si="41"/>
        <v>1420136.9977141765</v>
      </c>
      <c r="J167" s="27">
        <f t="shared" si="41"/>
        <v>2371143.3447649633</v>
      </c>
      <c r="K167"/>
      <c r="L167"/>
      <c r="M167"/>
      <c r="N167"/>
    </row>
    <row r="168" spans="1:14" ht="16" outlineLevel="1" thickTop="1" x14ac:dyDescent="0.2">
      <c r="K168"/>
      <c r="L168"/>
      <c r="M168"/>
      <c r="N168"/>
    </row>
    <row r="169" spans="1:14" ht="15" outlineLevel="1" x14ac:dyDescent="0.2">
      <c r="A169" s="44" t="s">
        <v>122</v>
      </c>
      <c r="E169" s="3">
        <f t="shared" ref="E169:J169" si="42">+E127</f>
        <v>0</v>
      </c>
      <c r="F169" s="3">
        <f t="shared" si="42"/>
        <v>0</v>
      </c>
      <c r="G169" s="3">
        <f t="shared" si="42"/>
        <v>0</v>
      </c>
      <c r="H169" s="3">
        <f t="shared" si="42"/>
        <v>0</v>
      </c>
      <c r="I169" s="3">
        <f t="shared" si="42"/>
        <v>0</v>
      </c>
      <c r="J169" s="3">
        <f t="shared" si="42"/>
        <v>0</v>
      </c>
      <c r="K169"/>
      <c r="L169"/>
      <c r="M169"/>
      <c r="N169"/>
    </row>
    <row r="170" spans="1:14" ht="15" x14ac:dyDescent="0.2">
      <c r="K170"/>
      <c r="L170"/>
      <c r="M170"/>
      <c r="N170"/>
    </row>
    <row r="171" spans="1:14" s="12" customFormat="1" ht="19" customHeight="1" x14ac:dyDescent="0.2">
      <c r="A171" s="123" t="s">
        <v>15</v>
      </c>
      <c r="B171" s="11"/>
      <c r="C171" s="11"/>
      <c r="D171" s="11"/>
      <c r="E171" s="11"/>
      <c r="F171" s="11"/>
      <c r="G171" s="11"/>
      <c r="H171" s="11"/>
      <c r="I171" s="11"/>
      <c r="J171" s="11"/>
      <c r="K171"/>
      <c r="L171"/>
      <c r="M171"/>
      <c r="N171"/>
    </row>
    <row r="172" spans="1:14" ht="15" outlineLevel="1" x14ac:dyDescent="0.2">
      <c r="K172"/>
      <c r="L172"/>
      <c r="M172"/>
      <c r="N172"/>
    </row>
    <row r="173" spans="1:14" ht="15" outlineLevel="1" x14ac:dyDescent="0.2">
      <c r="A173" s="127" t="s">
        <v>16</v>
      </c>
      <c r="E173" s="26"/>
      <c r="F173" s="26"/>
      <c r="G173" s="26"/>
      <c r="H173" s="26"/>
      <c r="I173" s="26"/>
      <c r="J173" s="26"/>
      <c r="K173"/>
      <c r="L173"/>
      <c r="M173"/>
      <c r="N173"/>
    </row>
    <row r="174" spans="1:14" ht="15" outlineLevel="1" x14ac:dyDescent="0.2">
      <c r="A174" s="127" t="s">
        <v>126</v>
      </c>
      <c r="K174"/>
      <c r="L174"/>
      <c r="M174"/>
      <c r="N174"/>
    </row>
    <row r="175" spans="1:14" ht="15" outlineLevel="1" x14ac:dyDescent="0.2">
      <c r="A175" s="44" t="s">
        <v>17</v>
      </c>
      <c r="E175" s="3">
        <f>E222</f>
        <v>87452.054794520547</v>
      </c>
      <c r="F175" s="3">
        <f t="shared" ref="F175:J175" si="43">F222</f>
        <v>-358918.28756421228</v>
      </c>
      <c r="G175" s="3">
        <f t="shared" si="43"/>
        <v>-656665.38130011887</v>
      </c>
      <c r="H175" s="3">
        <f t="shared" si="43"/>
        <v>-697641.58507255302</v>
      </c>
      <c r="I175" s="3">
        <f t="shared" si="43"/>
        <v>-303685.99103987217</v>
      </c>
      <c r="J175" s="3">
        <f t="shared" si="43"/>
        <v>817671.63795689354</v>
      </c>
      <c r="K175"/>
      <c r="L175"/>
      <c r="M175"/>
      <c r="N175"/>
    </row>
    <row r="176" spans="1:14" ht="15" outlineLevel="1" x14ac:dyDescent="0.2">
      <c r="A176" s="44" t="s">
        <v>125</v>
      </c>
      <c r="E176" s="3">
        <f t="shared" ref="E176:J176" si="44">E139*$D$102/$D$104</f>
        <v>19968.107876712329</v>
      </c>
      <c r="F176" s="3">
        <f t="shared" si="44"/>
        <v>37889.484696061641</v>
      </c>
      <c r="G176" s="3">
        <f t="shared" si="44"/>
        <v>64094.181785637847</v>
      </c>
      <c r="H176" s="3">
        <f t="shared" si="44"/>
        <v>101921.65457420323</v>
      </c>
      <c r="I176" s="3">
        <f t="shared" si="44"/>
        <v>156000.14566976769</v>
      </c>
      <c r="J176" s="3">
        <f t="shared" si="44"/>
        <v>232736.99361535613</v>
      </c>
      <c r="K176"/>
      <c r="L176"/>
      <c r="M176"/>
      <c r="N176"/>
    </row>
    <row r="177" spans="1:14" ht="15" outlineLevel="1" x14ac:dyDescent="0.2">
      <c r="A177" s="44" t="s">
        <v>18</v>
      </c>
      <c r="E177" s="3">
        <f t="shared" ref="E177:J177" si="45">E142/E107</f>
        <v>310787.67123287672</v>
      </c>
      <c r="F177" s="3">
        <f t="shared" si="45"/>
        <v>530747.64554794517</v>
      </c>
      <c r="G177" s="3">
        <f t="shared" si="45"/>
        <v>808035.5991652396</v>
      </c>
      <c r="H177" s="3">
        <f t="shared" si="45"/>
        <v>1156434.0262193638</v>
      </c>
      <c r="I177" s="3">
        <f t="shared" si="45"/>
        <v>1593022.4992052065</v>
      </c>
      <c r="J177" s="3">
        <f t="shared" si="45"/>
        <v>2138970.698209051</v>
      </c>
      <c r="K177"/>
      <c r="L177"/>
      <c r="M177"/>
      <c r="N177"/>
    </row>
    <row r="178" spans="1:14" ht="15" outlineLevel="1" x14ac:dyDescent="0.2">
      <c r="A178" s="129" t="s">
        <v>124</v>
      </c>
      <c r="B178" s="15"/>
      <c r="C178" s="15"/>
      <c r="D178" s="15"/>
      <c r="E178" s="15">
        <f>SUM(E175:E177)</f>
        <v>418207.8339041096</v>
      </c>
      <c r="F178" s="15">
        <f t="shared" ref="F178:J178" si="46">SUM(F175:F177)</f>
        <v>209718.84267979453</v>
      </c>
      <c r="G178" s="15">
        <f t="shared" si="46"/>
        <v>215464.3996507586</v>
      </c>
      <c r="H178" s="15">
        <f t="shared" si="46"/>
        <v>560714.09572101396</v>
      </c>
      <c r="I178" s="15">
        <f t="shared" si="46"/>
        <v>1445336.653835102</v>
      </c>
      <c r="J178" s="15">
        <f t="shared" si="46"/>
        <v>3189379.3297813004</v>
      </c>
      <c r="K178"/>
      <c r="L178"/>
      <c r="M178"/>
      <c r="N178"/>
    </row>
    <row r="179" spans="1:14" ht="15" outlineLevel="1" x14ac:dyDescent="0.2">
      <c r="A179" s="44" t="s">
        <v>128</v>
      </c>
      <c r="E179" s="3">
        <f>E241</f>
        <v>151250</v>
      </c>
      <c r="F179" s="3">
        <f t="shared" ref="F179:J179" si="47">F241</f>
        <v>400434.375</v>
      </c>
      <c r="G179" s="3">
        <f t="shared" si="47"/>
        <v>776359.06562500005</v>
      </c>
      <c r="H179" s="3">
        <f t="shared" si="47"/>
        <v>1317439.3148468751</v>
      </c>
      <c r="I179" s="3">
        <f t="shared" si="47"/>
        <v>2075137.9458064411</v>
      </c>
      <c r="J179" s="3">
        <f t="shared" si="47"/>
        <v>3011177.1978085707</v>
      </c>
      <c r="K179"/>
      <c r="L179"/>
      <c r="M179"/>
      <c r="N179"/>
    </row>
    <row r="180" spans="1:14" ht="16" outlineLevel="1" thickBot="1" x14ac:dyDescent="0.25">
      <c r="A180" s="131" t="s">
        <v>135</v>
      </c>
      <c r="B180" s="27"/>
      <c r="C180" s="27"/>
      <c r="D180" s="27"/>
      <c r="E180" s="27">
        <f t="shared" ref="E180:J180" si="48">SUM(E178:E179)</f>
        <v>569457.83390410966</v>
      </c>
      <c r="F180" s="27">
        <f t="shared" si="48"/>
        <v>610153.21767979453</v>
      </c>
      <c r="G180" s="27">
        <f t="shared" si="48"/>
        <v>991823.46527575864</v>
      </c>
      <c r="H180" s="27">
        <f t="shared" si="48"/>
        <v>1878153.410567889</v>
      </c>
      <c r="I180" s="27">
        <f t="shared" si="48"/>
        <v>3520474.5996415429</v>
      </c>
      <c r="J180" s="27">
        <f t="shared" si="48"/>
        <v>6200556.5275898706</v>
      </c>
      <c r="K180"/>
      <c r="L180"/>
      <c r="M180"/>
      <c r="N180"/>
    </row>
    <row r="181" spans="1:14" ht="16" outlineLevel="1" thickTop="1" x14ac:dyDescent="0.2">
      <c r="A181" s="127" t="s">
        <v>19</v>
      </c>
      <c r="K181"/>
      <c r="L181"/>
      <c r="M181"/>
      <c r="N181"/>
    </row>
    <row r="182" spans="1:14" ht="15" outlineLevel="1" x14ac:dyDescent="0.2">
      <c r="A182" s="127" t="s">
        <v>6</v>
      </c>
      <c r="K182"/>
      <c r="L182"/>
      <c r="M182"/>
      <c r="N182"/>
    </row>
    <row r="183" spans="1:14" ht="15" outlineLevel="1" x14ac:dyDescent="0.2">
      <c r="A183" s="127" t="s">
        <v>127</v>
      </c>
      <c r="K183"/>
      <c r="L183"/>
      <c r="M183"/>
      <c r="N183"/>
    </row>
    <row r="184" spans="1:14" ht="15" outlineLevel="1" x14ac:dyDescent="0.2">
      <c r="A184" s="44" t="s">
        <v>129</v>
      </c>
      <c r="E184" s="3">
        <f t="shared" ref="E184:J184" si="49">(E151+E142)*$D$110/$D$104</f>
        <v>96035.95890410959</v>
      </c>
      <c r="F184" s="3">
        <f t="shared" si="49"/>
        <v>175207.99892979453</v>
      </c>
      <c r="G184" s="3">
        <f t="shared" si="49"/>
        <v>287919.70343601238</v>
      </c>
      <c r="H184" s="3">
        <f t="shared" si="49"/>
        <v>446774.30740984518</v>
      </c>
      <c r="I184" s="3">
        <f t="shared" si="49"/>
        <v>668958.49876932276</v>
      </c>
      <c r="J184" s="3">
        <f t="shared" si="49"/>
        <v>977897.08195268747</v>
      </c>
      <c r="K184"/>
      <c r="L184"/>
      <c r="M184"/>
      <c r="N184"/>
    </row>
    <row r="185" spans="1:14" ht="15" outlineLevel="1" x14ac:dyDescent="0.2">
      <c r="A185" s="129" t="s">
        <v>130</v>
      </c>
      <c r="B185" s="15"/>
      <c r="C185" s="15"/>
      <c r="D185" s="15"/>
      <c r="E185" s="15">
        <f t="shared" ref="E185:J185" si="50">SUM(E184:E184)</f>
        <v>96035.95890410959</v>
      </c>
      <c r="F185" s="15">
        <f t="shared" si="50"/>
        <v>175207.99892979453</v>
      </c>
      <c r="G185" s="15">
        <f t="shared" si="50"/>
        <v>287919.70343601238</v>
      </c>
      <c r="H185" s="15">
        <f t="shared" si="50"/>
        <v>446774.30740984518</v>
      </c>
      <c r="I185" s="15">
        <f t="shared" si="50"/>
        <v>668958.49876932276</v>
      </c>
      <c r="J185" s="15">
        <f t="shared" si="50"/>
        <v>977897.08195268747</v>
      </c>
      <c r="K185"/>
      <c r="L185"/>
      <c r="M185"/>
      <c r="N185"/>
    </row>
    <row r="186" spans="1:14" ht="15" outlineLevel="1" x14ac:dyDescent="0.2">
      <c r="A186" s="44" t="s">
        <v>24</v>
      </c>
      <c r="E186" s="3">
        <f>E251</f>
        <v>0</v>
      </c>
      <c r="F186" s="3">
        <f t="shared" ref="F186:J186" si="51">F251</f>
        <v>0</v>
      </c>
      <c r="G186" s="3">
        <f t="shared" si="51"/>
        <v>0</v>
      </c>
      <c r="H186" s="3">
        <f t="shared" si="51"/>
        <v>0</v>
      </c>
      <c r="I186" s="3">
        <f t="shared" si="51"/>
        <v>0</v>
      </c>
      <c r="J186" s="3">
        <f t="shared" si="51"/>
        <v>0</v>
      </c>
      <c r="K186"/>
      <c r="L186"/>
      <c r="M186"/>
      <c r="N186"/>
    </row>
    <row r="187" spans="1:14" ht="15" outlineLevel="1" x14ac:dyDescent="0.2">
      <c r="A187" s="129" t="s">
        <v>134</v>
      </c>
      <c r="B187" s="15"/>
      <c r="C187" s="15"/>
      <c r="D187" s="15"/>
      <c r="E187" s="15">
        <f>SUM(E185:E186)</f>
        <v>96035.95890410959</v>
      </c>
      <c r="F187" s="15">
        <f t="shared" ref="F187:J187" si="52">SUM(F185:F186)</f>
        <v>175207.99892979453</v>
      </c>
      <c r="G187" s="15">
        <f t="shared" si="52"/>
        <v>287919.70343601238</v>
      </c>
      <c r="H187" s="15">
        <f t="shared" si="52"/>
        <v>446774.30740984518</v>
      </c>
      <c r="I187" s="15">
        <f t="shared" si="52"/>
        <v>668958.49876932276</v>
      </c>
      <c r="J187" s="15">
        <f t="shared" si="52"/>
        <v>977897.08195268747</v>
      </c>
      <c r="K187"/>
      <c r="L187"/>
      <c r="M187"/>
      <c r="N187"/>
    </row>
    <row r="188" spans="1:14" ht="15" outlineLevel="1" x14ac:dyDescent="0.2">
      <c r="A188" s="127" t="s">
        <v>198</v>
      </c>
      <c r="K188"/>
      <c r="L188"/>
      <c r="M188"/>
      <c r="N188"/>
    </row>
    <row r="189" spans="1:14" ht="15" outlineLevel="1" x14ac:dyDescent="0.2">
      <c r="A189" s="44" t="s">
        <v>131</v>
      </c>
      <c r="E189" s="3">
        <f>+D189+D127</f>
        <v>500000</v>
      </c>
      <c r="F189" s="3">
        <f>+E189</f>
        <v>500000</v>
      </c>
      <c r="G189" s="3">
        <f t="shared" ref="G189:J189" si="53">+F189</f>
        <v>500000</v>
      </c>
      <c r="H189" s="3">
        <f t="shared" si="53"/>
        <v>500000</v>
      </c>
      <c r="I189" s="3">
        <f t="shared" si="53"/>
        <v>500000</v>
      </c>
      <c r="J189" s="3">
        <f t="shared" si="53"/>
        <v>500000</v>
      </c>
      <c r="K189"/>
      <c r="L189"/>
      <c r="M189"/>
      <c r="N189"/>
    </row>
    <row r="190" spans="1:14" ht="15" outlineLevel="1" x14ac:dyDescent="0.2">
      <c r="A190" s="44" t="s">
        <v>132</v>
      </c>
      <c r="E190" s="3">
        <f t="shared" ref="E190:J190" si="54">+D190+E167-E169</f>
        <v>-26578.125</v>
      </c>
      <c r="F190" s="3">
        <f t="shared" si="54"/>
        <v>-65054.78125</v>
      </c>
      <c r="G190" s="3">
        <f t="shared" si="54"/>
        <v>203903.76183974621</v>
      </c>
      <c r="H190" s="3">
        <f t="shared" si="54"/>
        <v>931379.1031580437</v>
      </c>
      <c r="I190" s="3">
        <f t="shared" si="54"/>
        <v>2351516.1008722205</v>
      </c>
      <c r="J190" s="3">
        <f t="shared" si="54"/>
        <v>4722659.4456371833</v>
      </c>
      <c r="K190"/>
      <c r="L190"/>
      <c r="M190"/>
      <c r="N190"/>
    </row>
    <row r="191" spans="1:14" ht="15" outlineLevel="1" x14ac:dyDescent="0.2">
      <c r="A191" s="129" t="s">
        <v>213</v>
      </c>
      <c r="B191" s="15"/>
      <c r="C191" s="15"/>
      <c r="D191" s="15"/>
      <c r="E191" s="15">
        <f>SUM(E189:E190)</f>
        <v>473421.875</v>
      </c>
      <c r="F191" s="15">
        <f t="shared" ref="F191:J191" si="55">SUM(F189:F190)</f>
        <v>434945.21875</v>
      </c>
      <c r="G191" s="15">
        <f t="shared" si="55"/>
        <v>703903.76183974626</v>
      </c>
      <c r="H191" s="15">
        <f t="shared" si="55"/>
        <v>1431379.1031580437</v>
      </c>
      <c r="I191" s="15">
        <f t="shared" si="55"/>
        <v>2851516.1008722205</v>
      </c>
      <c r="J191" s="15">
        <f t="shared" si="55"/>
        <v>5222659.4456371833</v>
      </c>
      <c r="K191"/>
      <c r="L191"/>
      <c r="M191"/>
      <c r="N191"/>
    </row>
    <row r="192" spans="1:14" ht="16" outlineLevel="1" thickBot="1" x14ac:dyDescent="0.25">
      <c r="A192" s="131" t="s">
        <v>212</v>
      </c>
      <c r="B192" s="28"/>
      <c r="C192" s="28"/>
      <c r="D192" s="27"/>
      <c r="E192" s="27">
        <f>+E191+E187</f>
        <v>569457.83390410955</v>
      </c>
      <c r="F192" s="27">
        <f t="shared" ref="F192:J192" si="56">+F191+F187</f>
        <v>610153.21767979453</v>
      </c>
      <c r="G192" s="27">
        <f t="shared" si="56"/>
        <v>991823.46527575864</v>
      </c>
      <c r="H192" s="27">
        <f t="shared" si="56"/>
        <v>1878153.410567889</v>
      </c>
      <c r="I192" s="27">
        <f t="shared" si="56"/>
        <v>3520474.5996415433</v>
      </c>
      <c r="J192" s="27">
        <f t="shared" si="56"/>
        <v>6200556.5275898706</v>
      </c>
      <c r="K192"/>
      <c r="L192"/>
      <c r="M192"/>
      <c r="N192"/>
    </row>
    <row r="193" spans="1:14" ht="16" outlineLevel="1" thickTop="1" x14ac:dyDescent="0.2">
      <c r="A193" s="17"/>
      <c r="D193" s="17"/>
      <c r="E193" s="17"/>
      <c r="F193" s="17"/>
      <c r="G193" s="17"/>
      <c r="H193" s="17"/>
      <c r="I193" s="17"/>
      <c r="J193" s="17"/>
      <c r="K193"/>
      <c r="L193"/>
      <c r="M193"/>
      <c r="N193"/>
    </row>
    <row r="194" spans="1:14" ht="15" outlineLevel="1" x14ac:dyDescent="0.2">
      <c r="A194" s="130" t="s">
        <v>133</v>
      </c>
      <c r="E194" s="29">
        <f t="shared" ref="E194:J194" si="57">E192-E180</f>
        <v>0</v>
      </c>
      <c r="F194" s="29">
        <f t="shared" si="57"/>
        <v>0</v>
      </c>
      <c r="G194" s="29">
        <f t="shared" si="57"/>
        <v>0</v>
      </c>
      <c r="H194" s="29">
        <f t="shared" si="57"/>
        <v>0</v>
      </c>
      <c r="I194" s="29">
        <f t="shared" si="57"/>
        <v>0</v>
      </c>
      <c r="J194" s="29">
        <f t="shared" si="57"/>
        <v>0</v>
      </c>
      <c r="K194"/>
      <c r="L194"/>
      <c r="M194"/>
      <c r="N194"/>
    </row>
    <row r="195" spans="1:14" ht="15" x14ac:dyDescent="0.2">
      <c r="A195" s="16"/>
      <c r="K195"/>
      <c r="L195"/>
      <c r="M195"/>
      <c r="N195"/>
    </row>
    <row r="196" spans="1:14" s="12" customFormat="1" ht="19" customHeight="1" x14ac:dyDescent="0.2">
      <c r="A196" s="123" t="s">
        <v>20</v>
      </c>
      <c r="B196" s="11"/>
      <c r="C196" s="11"/>
      <c r="D196" s="11"/>
      <c r="E196" s="11"/>
      <c r="F196" s="11"/>
      <c r="G196" s="11"/>
      <c r="H196" s="11"/>
      <c r="I196" s="11"/>
      <c r="J196" s="11"/>
      <c r="K196"/>
      <c r="L196"/>
      <c r="M196"/>
      <c r="N196"/>
    </row>
    <row r="197" spans="1:14" ht="15" outlineLevel="1" x14ac:dyDescent="0.2">
      <c r="K197"/>
      <c r="L197"/>
      <c r="M197"/>
      <c r="N197"/>
    </row>
    <row r="198" spans="1:14" ht="15" outlineLevel="1" x14ac:dyDescent="0.2">
      <c r="A198" s="127" t="s">
        <v>145</v>
      </c>
      <c r="E198" s="26"/>
      <c r="F198" s="26"/>
      <c r="G198" s="26"/>
      <c r="H198" s="26"/>
      <c r="I198" s="26"/>
      <c r="J198" s="26"/>
      <c r="K198"/>
      <c r="L198"/>
      <c r="M198"/>
      <c r="N198"/>
    </row>
    <row r="199" spans="1:14" ht="15" outlineLevel="1" x14ac:dyDescent="0.2">
      <c r="A199" s="44" t="s">
        <v>121</v>
      </c>
      <c r="E199" s="3">
        <f t="shared" ref="E199:J199" si="58">E167</f>
        <v>-26578.125</v>
      </c>
      <c r="F199" s="3">
        <f t="shared" si="58"/>
        <v>-38476.65625</v>
      </c>
      <c r="G199" s="3">
        <f t="shared" si="58"/>
        <v>268958.54308974621</v>
      </c>
      <c r="H199" s="3">
        <f t="shared" si="58"/>
        <v>727475.34131829755</v>
      </c>
      <c r="I199" s="3">
        <f t="shared" si="58"/>
        <v>1420136.9977141765</v>
      </c>
      <c r="J199" s="3">
        <f t="shared" si="58"/>
        <v>2371143.3447649633</v>
      </c>
      <c r="K199"/>
      <c r="L199"/>
      <c r="M199"/>
      <c r="N199"/>
    </row>
    <row r="200" spans="1:14" ht="15" outlineLevel="1" x14ac:dyDescent="0.2">
      <c r="A200" s="44" t="s">
        <v>7</v>
      </c>
      <c r="E200" s="3">
        <f t="shared" ref="E200:J200" si="59">E162</f>
        <v>37812.5</v>
      </c>
      <c r="F200" s="3">
        <f t="shared" si="59"/>
        <v>109561.71875</v>
      </c>
      <c r="G200" s="3">
        <f t="shared" si="59"/>
        <v>230933.32109375001</v>
      </c>
      <c r="H200" s="3">
        <f t="shared" si="59"/>
        <v>423936.71367265622</v>
      </c>
      <c r="I200" s="3">
        <f t="shared" si="59"/>
        <v>719345.54983071168</v>
      </c>
      <c r="J200" s="3">
        <f t="shared" si="59"/>
        <v>1267566.5241225134</v>
      </c>
      <c r="K200"/>
      <c r="L200"/>
      <c r="M200"/>
      <c r="N200"/>
    </row>
    <row r="201" spans="1:14" ht="15" outlineLevel="1" x14ac:dyDescent="0.2">
      <c r="A201" s="127" t="s">
        <v>197</v>
      </c>
      <c r="K201"/>
      <c r="L201"/>
      <c r="M201"/>
      <c r="N201"/>
    </row>
    <row r="202" spans="1:14" ht="15" outlineLevel="1" x14ac:dyDescent="0.2">
      <c r="A202" s="44" t="s">
        <v>125</v>
      </c>
      <c r="E202" s="3">
        <f t="shared" ref="E202:J203" si="60">E176-D176</f>
        <v>19968.107876712329</v>
      </c>
      <c r="F202" s="3">
        <f t="shared" si="60"/>
        <v>17921.376819349312</v>
      </c>
      <c r="G202" s="3">
        <f t="shared" si="60"/>
        <v>26204.697089576206</v>
      </c>
      <c r="H202" s="3">
        <f t="shared" si="60"/>
        <v>37827.472788565385</v>
      </c>
      <c r="I202" s="3">
        <f t="shared" si="60"/>
        <v>54078.491095564459</v>
      </c>
      <c r="J202" s="3">
        <f t="shared" si="60"/>
        <v>76736.847945588437</v>
      </c>
      <c r="K202"/>
      <c r="L202"/>
      <c r="M202"/>
      <c r="N202"/>
    </row>
    <row r="203" spans="1:14" ht="15" outlineLevel="1" x14ac:dyDescent="0.2">
      <c r="A203" s="44" t="s">
        <v>18</v>
      </c>
      <c r="E203" s="3">
        <f t="shared" si="60"/>
        <v>310787.67123287672</v>
      </c>
      <c r="F203" s="3">
        <f t="shared" si="60"/>
        <v>219959.97431506845</v>
      </c>
      <c r="G203" s="3">
        <f t="shared" si="60"/>
        <v>277287.95361729444</v>
      </c>
      <c r="H203" s="3">
        <f t="shared" si="60"/>
        <v>348398.42705412419</v>
      </c>
      <c r="I203" s="3">
        <f t="shared" si="60"/>
        <v>436588.47298584273</v>
      </c>
      <c r="J203" s="3">
        <f t="shared" si="60"/>
        <v>545948.19900384452</v>
      </c>
      <c r="K203"/>
      <c r="L203"/>
      <c r="M203"/>
      <c r="N203"/>
    </row>
    <row r="204" spans="1:14" ht="15" outlineLevel="1" x14ac:dyDescent="0.2">
      <c r="A204" s="44" t="s">
        <v>129</v>
      </c>
      <c r="E204" s="3">
        <f>E184-D184</f>
        <v>96035.95890410959</v>
      </c>
      <c r="F204" s="3">
        <f t="shared" ref="F204:J204" si="61">F184-E184</f>
        <v>79172.040025684939</v>
      </c>
      <c r="G204" s="3">
        <f t="shared" si="61"/>
        <v>112711.70450621785</v>
      </c>
      <c r="H204" s="3">
        <f t="shared" si="61"/>
        <v>158854.6039738328</v>
      </c>
      <c r="I204" s="3">
        <f t="shared" si="61"/>
        <v>222184.19135947758</v>
      </c>
      <c r="J204" s="3">
        <f t="shared" si="61"/>
        <v>308938.58318336471</v>
      </c>
      <c r="K204"/>
      <c r="L204"/>
      <c r="M204"/>
      <c r="N204"/>
    </row>
    <row r="205" spans="1:14" ht="15" outlineLevel="1" x14ac:dyDescent="0.2">
      <c r="A205" s="129" t="s">
        <v>146</v>
      </c>
      <c r="B205" s="15"/>
      <c r="C205" s="15"/>
      <c r="D205" s="15"/>
      <c r="E205" s="15">
        <f>E199+E200-E202-E203+E204</f>
        <v>-223485.44520547945</v>
      </c>
      <c r="F205" s="15">
        <f t="shared" ref="F205:J205" si="62">F199+F200-F202-F203+F204</f>
        <v>-87624.248608732814</v>
      </c>
      <c r="G205" s="15">
        <f t="shared" si="62"/>
        <v>309110.91798284341</v>
      </c>
      <c r="H205" s="15">
        <f t="shared" si="62"/>
        <v>924040.75912209705</v>
      </c>
      <c r="I205" s="15">
        <f t="shared" si="62"/>
        <v>1870999.7748229585</v>
      </c>
      <c r="J205" s="15">
        <f t="shared" si="62"/>
        <v>3324963.4051214084</v>
      </c>
      <c r="K205"/>
      <c r="L205"/>
      <c r="M205"/>
      <c r="N205"/>
    </row>
    <row r="206" spans="1:14" ht="15" outlineLevel="1" x14ac:dyDescent="0.2">
      <c r="K206"/>
      <c r="L206"/>
      <c r="M206"/>
      <c r="N206"/>
    </row>
    <row r="207" spans="1:14" ht="15" outlineLevel="1" x14ac:dyDescent="0.2">
      <c r="A207" s="127" t="s">
        <v>143</v>
      </c>
      <c r="K207"/>
      <c r="L207"/>
      <c r="M207"/>
      <c r="N207"/>
    </row>
    <row r="208" spans="1:14" ht="15" outlineLevel="1" x14ac:dyDescent="0.2">
      <c r="A208" s="44" t="s">
        <v>142</v>
      </c>
      <c r="E208" s="3">
        <f t="shared" ref="E208:J208" si="63">E116</f>
        <v>189062.5</v>
      </c>
      <c r="F208" s="3">
        <f t="shared" si="63"/>
        <v>358746.09375</v>
      </c>
      <c r="G208" s="3">
        <f t="shared" si="63"/>
        <v>606858.01171875</v>
      </c>
      <c r="H208" s="3">
        <f t="shared" si="63"/>
        <v>965016.9628945312</v>
      </c>
      <c r="I208" s="3">
        <f t="shared" si="63"/>
        <v>1477044.1807902777</v>
      </c>
      <c r="J208" s="3">
        <f t="shared" si="63"/>
        <v>2203605.7761246427</v>
      </c>
      <c r="K208"/>
      <c r="L208"/>
      <c r="M208"/>
      <c r="N208"/>
    </row>
    <row r="209" spans="1:14" ht="15" outlineLevel="1" x14ac:dyDescent="0.2">
      <c r="A209" s="129" t="s">
        <v>141</v>
      </c>
      <c r="B209" s="15"/>
      <c r="C209" s="15"/>
      <c r="D209" s="15"/>
      <c r="E209" s="15">
        <f t="shared" ref="E209:J209" si="64">SUM(E208:E208)</f>
        <v>189062.5</v>
      </c>
      <c r="F209" s="15">
        <f t="shared" si="64"/>
        <v>358746.09375</v>
      </c>
      <c r="G209" s="15">
        <f t="shared" si="64"/>
        <v>606858.01171875</v>
      </c>
      <c r="H209" s="15">
        <f t="shared" si="64"/>
        <v>965016.9628945312</v>
      </c>
      <c r="I209" s="15">
        <f t="shared" si="64"/>
        <v>1477044.1807902777</v>
      </c>
      <c r="J209" s="15">
        <f t="shared" si="64"/>
        <v>2203605.7761246427</v>
      </c>
      <c r="K209"/>
      <c r="L209"/>
      <c r="M209"/>
      <c r="N209"/>
    </row>
    <row r="210" spans="1:14" ht="15" outlineLevel="1" x14ac:dyDescent="0.2">
      <c r="K210"/>
      <c r="L210"/>
      <c r="M210"/>
      <c r="N210"/>
    </row>
    <row r="211" spans="1:14" ht="15" outlineLevel="1" x14ac:dyDescent="0.2">
      <c r="A211" s="127" t="s">
        <v>144</v>
      </c>
      <c r="K211"/>
      <c r="L211"/>
      <c r="M211"/>
      <c r="N211"/>
    </row>
    <row r="212" spans="1:14" ht="15" outlineLevel="1" x14ac:dyDescent="0.2">
      <c r="A212" s="44" t="s">
        <v>140</v>
      </c>
      <c r="E212" s="3">
        <f>E246</f>
        <v>0</v>
      </c>
      <c r="K212"/>
      <c r="L212"/>
      <c r="M212"/>
      <c r="N212"/>
    </row>
    <row r="213" spans="1:14" ht="15" outlineLevel="1" x14ac:dyDescent="0.2">
      <c r="A213" s="44" t="s">
        <v>47</v>
      </c>
      <c r="E213" s="3">
        <f>E250</f>
        <v>0</v>
      </c>
      <c r="F213" s="3">
        <f t="shared" ref="F213:J213" si="65">F250</f>
        <v>0</v>
      </c>
      <c r="G213" s="3">
        <f t="shared" si="65"/>
        <v>0</v>
      </c>
      <c r="H213" s="3">
        <f t="shared" si="65"/>
        <v>0</v>
      </c>
      <c r="I213" s="3">
        <f t="shared" si="65"/>
        <v>0</v>
      </c>
      <c r="J213" s="3">
        <f t="shared" si="65"/>
        <v>0</v>
      </c>
      <c r="K213"/>
      <c r="L213"/>
      <c r="M213"/>
      <c r="N213"/>
    </row>
    <row r="214" spans="1:14" ht="15" outlineLevel="1" x14ac:dyDescent="0.2">
      <c r="A214" s="127" t="s">
        <v>48</v>
      </c>
      <c r="E214" s="3">
        <f>E212+E213</f>
        <v>0</v>
      </c>
      <c r="F214" s="3">
        <f t="shared" ref="F214:J214" si="66">F212+F213</f>
        <v>0</v>
      </c>
      <c r="G214" s="3">
        <f t="shared" si="66"/>
        <v>0</v>
      </c>
      <c r="H214" s="3">
        <f t="shared" si="66"/>
        <v>0</v>
      </c>
      <c r="I214" s="3">
        <f t="shared" si="66"/>
        <v>0</v>
      </c>
      <c r="J214" s="3">
        <f t="shared" si="66"/>
        <v>0</v>
      </c>
      <c r="K214"/>
      <c r="L214"/>
      <c r="M214"/>
      <c r="N214"/>
    </row>
    <row r="215" spans="1:14" ht="15" outlineLevel="1" x14ac:dyDescent="0.2">
      <c r="A215" s="44" t="s">
        <v>49</v>
      </c>
      <c r="E215" s="3">
        <f>D127</f>
        <v>500000</v>
      </c>
      <c r="F215" s="3">
        <f>F189-E189</f>
        <v>0</v>
      </c>
      <c r="G215" s="3">
        <f t="shared" ref="G215:J215" si="67">G189-F189</f>
        <v>0</v>
      </c>
      <c r="H215" s="3">
        <f t="shared" si="67"/>
        <v>0</v>
      </c>
      <c r="I215" s="3">
        <f t="shared" si="67"/>
        <v>0</v>
      </c>
      <c r="J215" s="3">
        <f t="shared" si="67"/>
        <v>0</v>
      </c>
      <c r="K215"/>
      <c r="L215"/>
      <c r="M215"/>
      <c r="N215"/>
    </row>
    <row r="216" spans="1:14" ht="15" outlineLevel="1" x14ac:dyDescent="0.2">
      <c r="A216" s="44" t="s">
        <v>50</v>
      </c>
      <c r="E216" s="3">
        <f t="shared" ref="E216:J216" si="68">E169</f>
        <v>0</v>
      </c>
      <c r="F216" s="3">
        <f t="shared" si="68"/>
        <v>0</v>
      </c>
      <c r="G216" s="3">
        <f t="shared" si="68"/>
        <v>0</v>
      </c>
      <c r="H216" s="3">
        <f t="shared" si="68"/>
        <v>0</v>
      </c>
      <c r="I216" s="3">
        <f t="shared" si="68"/>
        <v>0</v>
      </c>
      <c r="J216" s="3">
        <f t="shared" si="68"/>
        <v>0</v>
      </c>
      <c r="K216"/>
      <c r="L216"/>
      <c r="M216"/>
      <c r="N216"/>
    </row>
    <row r="217" spans="1:14" ht="15" outlineLevel="1" x14ac:dyDescent="0.2">
      <c r="A217" s="127" t="s">
        <v>51</v>
      </c>
      <c r="E217" s="3">
        <f>E215-E216</f>
        <v>500000</v>
      </c>
      <c r="F217" s="3">
        <f t="shared" ref="F217:J217" si="69">F215-F216</f>
        <v>0</v>
      </c>
      <c r="G217" s="3">
        <f t="shared" si="69"/>
        <v>0</v>
      </c>
      <c r="H217" s="3">
        <f t="shared" si="69"/>
        <v>0</v>
      </c>
      <c r="I217" s="3">
        <f t="shared" si="69"/>
        <v>0</v>
      </c>
      <c r="J217" s="3">
        <f t="shared" si="69"/>
        <v>0</v>
      </c>
      <c r="K217"/>
      <c r="L217"/>
      <c r="M217"/>
      <c r="N217"/>
    </row>
    <row r="218" spans="1:14" ht="15" outlineLevel="1" x14ac:dyDescent="0.2">
      <c r="A218" s="129" t="s">
        <v>139</v>
      </c>
      <c r="B218" s="15"/>
      <c r="C218" s="15"/>
      <c r="D218" s="15"/>
      <c r="E218" s="15">
        <f>E217+E214</f>
        <v>500000</v>
      </c>
      <c r="F218" s="15">
        <f t="shared" ref="F218:J218" si="70">F217+F214</f>
        <v>0</v>
      </c>
      <c r="G218" s="15">
        <f t="shared" si="70"/>
        <v>0</v>
      </c>
      <c r="H218" s="15">
        <f t="shared" si="70"/>
        <v>0</v>
      </c>
      <c r="I218" s="15">
        <f t="shared" si="70"/>
        <v>0</v>
      </c>
      <c r="J218" s="15">
        <f t="shared" si="70"/>
        <v>0</v>
      </c>
      <c r="K218"/>
      <c r="L218"/>
      <c r="M218"/>
      <c r="N218"/>
    </row>
    <row r="219" spans="1:14" ht="15" outlineLevel="1" x14ac:dyDescent="0.2">
      <c r="K219"/>
      <c r="L219"/>
      <c r="M219"/>
      <c r="N219"/>
    </row>
    <row r="220" spans="1:14" ht="15" outlineLevel="1" x14ac:dyDescent="0.2">
      <c r="A220" s="44" t="s">
        <v>136</v>
      </c>
      <c r="B220" s="17"/>
      <c r="C220" s="17"/>
      <c r="D220" s="17"/>
      <c r="E220" s="17">
        <v>0</v>
      </c>
      <c r="F220" s="17">
        <f t="shared" ref="F220:J220" si="71">E222</f>
        <v>87452.054794520547</v>
      </c>
      <c r="G220" s="17">
        <f t="shared" si="71"/>
        <v>-358918.28756421228</v>
      </c>
      <c r="H220" s="17">
        <f t="shared" si="71"/>
        <v>-656665.38130011887</v>
      </c>
      <c r="I220" s="17">
        <f t="shared" si="71"/>
        <v>-697641.58507255302</v>
      </c>
      <c r="J220" s="17">
        <f t="shared" si="71"/>
        <v>-303685.99103987217</v>
      </c>
      <c r="K220"/>
      <c r="L220"/>
      <c r="M220"/>
      <c r="N220"/>
    </row>
    <row r="221" spans="1:14" ht="15" outlineLevel="1" x14ac:dyDescent="0.2">
      <c r="A221" s="44" t="s">
        <v>137</v>
      </c>
      <c r="E221" s="3">
        <f t="shared" ref="E221:J221" si="72">E205-E209+E218</f>
        <v>87452.054794520547</v>
      </c>
      <c r="F221" s="3">
        <f t="shared" si="72"/>
        <v>-446370.34235873283</v>
      </c>
      <c r="G221" s="3">
        <f t="shared" si="72"/>
        <v>-297747.09373590659</v>
      </c>
      <c r="H221" s="3">
        <f t="shared" si="72"/>
        <v>-40976.20377243415</v>
      </c>
      <c r="I221" s="3">
        <f t="shared" si="72"/>
        <v>393955.59403268085</v>
      </c>
      <c r="J221" s="3">
        <f t="shared" si="72"/>
        <v>1121357.6289967657</v>
      </c>
      <c r="K221"/>
      <c r="L221"/>
      <c r="M221"/>
      <c r="N221"/>
    </row>
    <row r="222" spans="1:14" ht="15" outlineLevel="1" x14ac:dyDescent="0.2">
      <c r="A222" s="127" t="s">
        <v>138</v>
      </c>
      <c r="B222" s="17"/>
      <c r="C222" s="17"/>
      <c r="D222" s="17"/>
      <c r="E222" s="17">
        <f>SUM(E220:E221)</f>
        <v>87452.054794520547</v>
      </c>
      <c r="F222" s="17">
        <f t="shared" ref="F222:J222" si="73">SUM(F220:F221)</f>
        <v>-358918.28756421228</v>
      </c>
      <c r="G222" s="17">
        <f t="shared" si="73"/>
        <v>-656665.38130011887</v>
      </c>
      <c r="H222" s="17">
        <f t="shared" si="73"/>
        <v>-697641.58507255302</v>
      </c>
      <c r="I222" s="17">
        <f t="shared" si="73"/>
        <v>-303685.99103987217</v>
      </c>
      <c r="J222" s="17">
        <f t="shared" si="73"/>
        <v>817671.63795689354</v>
      </c>
      <c r="K222"/>
      <c r="L222"/>
      <c r="M222"/>
      <c r="N222"/>
    </row>
    <row r="223" spans="1:14" ht="15" outlineLevel="1" x14ac:dyDescent="0.2">
      <c r="K223"/>
      <c r="L223"/>
      <c r="M223"/>
      <c r="N223"/>
    </row>
    <row r="224" spans="1:14" s="12" customFormat="1" ht="19" customHeight="1" x14ac:dyDescent="0.2">
      <c r="A224" s="123" t="s">
        <v>21</v>
      </c>
      <c r="B224" s="11"/>
      <c r="C224" s="11"/>
      <c r="D224" s="11"/>
      <c r="E224" s="11"/>
      <c r="F224" s="11"/>
      <c r="G224" s="11"/>
      <c r="H224" s="11"/>
      <c r="I224" s="11"/>
      <c r="J224" s="11"/>
      <c r="K224"/>
      <c r="L224"/>
      <c r="M224"/>
      <c r="N224"/>
    </row>
    <row r="225" spans="1:14" ht="15" outlineLevel="1" x14ac:dyDescent="0.2">
      <c r="K225"/>
      <c r="L225"/>
      <c r="M225"/>
      <c r="N225"/>
    </row>
    <row r="226" spans="1:14" ht="15" outlineLevel="1" x14ac:dyDescent="0.2">
      <c r="A226" s="124" t="s">
        <v>149</v>
      </c>
      <c r="B226" s="13"/>
      <c r="C226" s="13"/>
      <c r="D226" s="13"/>
      <c r="E226" s="13"/>
      <c r="F226" s="13"/>
      <c r="G226" s="13"/>
      <c r="H226" s="13"/>
      <c r="I226" s="13"/>
      <c r="J226" s="13"/>
      <c r="K226"/>
      <c r="L226"/>
      <c r="M226"/>
      <c r="N226"/>
    </row>
    <row r="227" spans="1:14" ht="15" outlineLevel="1" x14ac:dyDescent="0.2">
      <c r="A227" s="43" t="s">
        <v>98</v>
      </c>
      <c r="B227" s="30"/>
      <c r="E227" s="3">
        <f t="shared" ref="E227:J227" si="74">D241</f>
        <v>0</v>
      </c>
      <c r="F227" s="3">
        <f t="shared" si="74"/>
        <v>151250</v>
      </c>
      <c r="G227" s="3">
        <f t="shared" si="74"/>
        <v>400434.375</v>
      </c>
      <c r="H227" s="3">
        <f t="shared" si="74"/>
        <v>776359.06562500005</v>
      </c>
      <c r="I227" s="3">
        <f t="shared" si="74"/>
        <v>1317439.3148468751</v>
      </c>
      <c r="J227" s="3">
        <f t="shared" si="74"/>
        <v>2075137.9458064411</v>
      </c>
      <c r="K227"/>
      <c r="L227"/>
      <c r="M227"/>
      <c r="N227"/>
    </row>
    <row r="228" spans="1:14" ht="15" outlineLevel="1" x14ac:dyDescent="0.2">
      <c r="A228" s="43" t="s">
        <v>99</v>
      </c>
      <c r="B228" s="31"/>
      <c r="E228" s="3">
        <f t="shared" ref="E228:J228" si="75">E116</f>
        <v>189062.5</v>
      </c>
      <c r="F228" s="3">
        <f t="shared" si="75"/>
        <v>358746.09375</v>
      </c>
      <c r="G228" s="3">
        <f t="shared" si="75"/>
        <v>606858.01171875</v>
      </c>
      <c r="H228" s="3">
        <f t="shared" si="75"/>
        <v>965016.9628945312</v>
      </c>
      <c r="I228" s="3">
        <f t="shared" si="75"/>
        <v>1477044.1807902777</v>
      </c>
      <c r="J228" s="3">
        <f t="shared" si="75"/>
        <v>2203605.7761246427</v>
      </c>
      <c r="K228"/>
      <c r="L228"/>
      <c r="M228"/>
      <c r="N228"/>
    </row>
    <row r="229" spans="1:14" ht="15" outlineLevel="1" x14ac:dyDescent="0.2">
      <c r="A229" s="128" t="s">
        <v>100</v>
      </c>
      <c r="B229" s="39"/>
      <c r="C229" s="19"/>
      <c r="D229" s="19"/>
      <c r="E229" s="15">
        <f t="shared" ref="E229:J229" si="76">+E227+E228</f>
        <v>189062.5</v>
      </c>
      <c r="F229" s="15">
        <f t="shared" si="76"/>
        <v>509996.09375</v>
      </c>
      <c r="G229" s="15">
        <f t="shared" si="76"/>
        <v>1007292.38671875</v>
      </c>
      <c r="H229" s="15">
        <f t="shared" si="76"/>
        <v>1741376.0285195312</v>
      </c>
      <c r="I229" s="15">
        <f t="shared" si="76"/>
        <v>2794483.4956371528</v>
      </c>
      <c r="J229" s="15">
        <f t="shared" si="76"/>
        <v>4278743.7219310841</v>
      </c>
      <c r="K229"/>
      <c r="L229"/>
      <c r="M229"/>
      <c r="N229"/>
    </row>
    <row r="230" spans="1:14" ht="15" outlineLevel="1" x14ac:dyDescent="0.2">
      <c r="A230" s="40"/>
      <c r="B230" s="40"/>
      <c r="K230"/>
      <c r="L230"/>
      <c r="M230"/>
      <c r="N230"/>
    </row>
    <row r="231" spans="1:14" ht="15" outlineLevel="1" x14ac:dyDescent="0.2">
      <c r="A231" s="125" t="s">
        <v>101</v>
      </c>
      <c r="B231" s="40"/>
      <c r="K231"/>
      <c r="L231"/>
      <c r="M231"/>
      <c r="N231"/>
    </row>
    <row r="232" spans="1:14" ht="15" outlineLevel="1" x14ac:dyDescent="0.2">
      <c r="A232" s="36">
        <f>$E$2</f>
        <v>2026</v>
      </c>
      <c r="E232" s="3">
        <f>E$228/$D$114</f>
        <v>37812.5</v>
      </c>
      <c r="F232" s="3">
        <f>IF(F$2&gt;$A232+$D$114-1,0,E232)</f>
        <v>37812.5</v>
      </c>
      <c r="G232" s="3">
        <f>IF(G$2&gt;$A232+$D$114-1,0,F232)</f>
        <v>37812.5</v>
      </c>
      <c r="H232" s="3">
        <f>IF(H$2&gt;$A232+$D$114-1,0,G232)</f>
        <v>37812.5</v>
      </c>
      <c r="I232" s="3">
        <f>IF(I$2&gt;$A232+$D$114-1,0,H232)</f>
        <v>37812.5</v>
      </c>
      <c r="J232" s="3">
        <f>IF(J$2&gt;$A232+$D$114-1,0,I232)</f>
        <v>0</v>
      </c>
      <c r="K232"/>
      <c r="L232"/>
      <c r="M232"/>
      <c r="N232"/>
    </row>
    <row r="233" spans="1:14" ht="15" outlineLevel="1" x14ac:dyDescent="0.2">
      <c r="A233" s="36">
        <f>$F$2</f>
        <v>2027</v>
      </c>
      <c r="F233" s="3">
        <f>F$228/$D$114</f>
        <v>71749.21875</v>
      </c>
      <c r="G233" s="3">
        <f>IF(G$2&gt;$A233+$D$114-1,0,F233)</f>
        <v>71749.21875</v>
      </c>
      <c r="H233" s="3">
        <f>IF(H$2&gt;$A233+$D$114-1,0,G233)</f>
        <v>71749.21875</v>
      </c>
      <c r="I233" s="3">
        <f>IF(I$2&gt;$A233+$D$114-1,0,H233)</f>
        <v>71749.21875</v>
      </c>
      <c r="J233" s="3">
        <f>IF(J$2&gt;$A233+$D$114-1,0,I233)</f>
        <v>71749.21875</v>
      </c>
      <c r="K233"/>
      <c r="L233"/>
      <c r="M233"/>
      <c r="N233"/>
    </row>
    <row r="234" spans="1:14" ht="15" outlineLevel="1" x14ac:dyDescent="0.2">
      <c r="A234" s="36">
        <f>$G$2</f>
        <v>2028</v>
      </c>
      <c r="G234" s="3">
        <f>G$228/$D$114</f>
        <v>121371.60234375</v>
      </c>
      <c r="H234" s="3">
        <f>IF(H$2&gt;$A234+$D$114-1,0,G234)</f>
        <v>121371.60234375</v>
      </c>
      <c r="I234" s="3">
        <f>IF(I$2&gt;$A234+$D$114-1,0,H234)</f>
        <v>121371.60234375</v>
      </c>
      <c r="J234" s="3">
        <f>IF(J$2&gt;$A234+$D$114-1,0,I234)</f>
        <v>121371.60234375</v>
      </c>
      <c r="K234"/>
      <c r="L234"/>
      <c r="M234"/>
      <c r="N234"/>
    </row>
    <row r="235" spans="1:14" ht="15" outlineLevel="1" x14ac:dyDescent="0.2">
      <c r="A235" s="36">
        <f>$H$2</f>
        <v>2029</v>
      </c>
      <c r="H235" s="3">
        <f>H$228/$D$114</f>
        <v>193003.39257890623</v>
      </c>
      <c r="I235" s="3">
        <f>IF(I$2&gt;$A235+$D$114-1,0,H235)</f>
        <v>193003.39257890623</v>
      </c>
      <c r="J235" s="3">
        <f>IF(J$2&gt;$A235+$D$114-1,0,I235)</f>
        <v>193003.39257890623</v>
      </c>
      <c r="K235"/>
      <c r="L235"/>
      <c r="M235"/>
      <c r="N235"/>
    </row>
    <row r="236" spans="1:14" ht="15" outlineLevel="1" x14ac:dyDescent="0.2">
      <c r="A236" s="36">
        <f>$I$2</f>
        <v>2030</v>
      </c>
      <c r="I236" s="3">
        <f>I$228/$D$114</f>
        <v>295408.83615805552</v>
      </c>
      <c r="J236" s="3">
        <f>J$228/$D$114</f>
        <v>440721.15522492852</v>
      </c>
      <c r="K236"/>
      <c r="L236"/>
      <c r="M236"/>
      <c r="N236"/>
    </row>
    <row r="237" spans="1:14" ht="15" outlineLevel="1" x14ac:dyDescent="0.2">
      <c r="A237" s="36">
        <f>$J$2</f>
        <v>2031</v>
      </c>
      <c r="J237" s="3">
        <f>J$228/$D$114</f>
        <v>440721.15522492852</v>
      </c>
      <c r="K237"/>
      <c r="L237"/>
      <c r="M237"/>
      <c r="N237"/>
    </row>
    <row r="238" spans="1:14" ht="15" outlineLevel="1" x14ac:dyDescent="0.2">
      <c r="A238" s="36">
        <f>$K$2</f>
        <v>0</v>
      </c>
      <c r="K238"/>
      <c r="L238"/>
      <c r="M238"/>
      <c r="N238"/>
    </row>
    <row r="239" spans="1:14" ht="15" outlineLevel="1" x14ac:dyDescent="0.2">
      <c r="A239" s="132" t="s">
        <v>102</v>
      </c>
      <c r="B239" s="39"/>
      <c r="C239" s="19"/>
      <c r="D239" s="19"/>
      <c r="E239" s="15">
        <f>SUM(E232:E238)</f>
        <v>37812.5</v>
      </c>
      <c r="F239" s="15">
        <f t="shared" ref="F239:J239" si="77">SUM(F232:F238)</f>
        <v>109561.71875</v>
      </c>
      <c r="G239" s="15">
        <f t="shared" si="77"/>
        <v>230933.32109375001</v>
      </c>
      <c r="H239" s="15">
        <f t="shared" si="77"/>
        <v>423936.71367265622</v>
      </c>
      <c r="I239" s="15">
        <f t="shared" si="77"/>
        <v>719345.54983071168</v>
      </c>
      <c r="J239" s="15">
        <f t="shared" si="77"/>
        <v>1267566.5241225134</v>
      </c>
      <c r="K239"/>
      <c r="L239"/>
      <c r="M239"/>
      <c r="N239"/>
    </row>
    <row r="240" spans="1:14" ht="15" outlineLevel="1" x14ac:dyDescent="0.2">
      <c r="A240" s="36"/>
      <c r="B240" s="31"/>
      <c r="K240"/>
      <c r="L240"/>
      <c r="M240"/>
      <c r="N240"/>
    </row>
    <row r="241" spans="1:14" ht="15" outlineLevel="1" x14ac:dyDescent="0.2">
      <c r="A241" s="128" t="s">
        <v>103</v>
      </c>
      <c r="B241" s="39"/>
      <c r="C241" s="19"/>
      <c r="D241" s="19"/>
      <c r="E241" s="15">
        <f t="shared" ref="E241:J241" si="78">E229-E239</f>
        <v>151250</v>
      </c>
      <c r="F241" s="15">
        <f t="shared" si="78"/>
        <v>400434.375</v>
      </c>
      <c r="G241" s="15">
        <f t="shared" si="78"/>
        <v>776359.06562500005</v>
      </c>
      <c r="H241" s="15">
        <f t="shared" si="78"/>
        <v>1317439.3148468751</v>
      </c>
      <c r="I241" s="15">
        <f t="shared" si="78"/>
        <v>2075137.9458064411</v>
      </c>
      <c r="J241" s="15">
        <f t="shared" si="78"/>
        <v>3011177.1978085707</v>
      </c>
      <c r="K241"/>
      <c r="L241"/>
      <c r="M241"/>
      <c r="N241"/>
    </row>
    <row r="242" spans="1:14" ht="15" outlineLevel="1" x14ac:dyDescent="0.2">
      <c r="K242"/>
      <c r="L242"/>
      <c r="M242"/>
      <c r="N242"/>
    </row>
    <row r="243" spans="1:14" ht="15" outlineLevel="1" x14ac:dyDescent="0.2">
      <c r="K243"/>
      <c r="L243"/>
      <c r="M243"/>
      <c r="N243"/>
    </row>
    <row r="244" spans="1:14" ht="15" outlineLevel="1" x14ac:dyDescent="0.2">
      <c r="A244" s="124" t="s">
        <v>26</v>
      </c>
      <c r="B244" s="13"/>
      <c r="C244" s="13"/>
      <c r="D244" s="13"/>
      <c r="E244" s="13"/>
      <c r="F244" s="13"/>
      <c r="G244" s="13"/>
      <c r="H244" s="13"/>
      <c r="I244" s="13"/>
      <c r="J244" s="13"/>
      <c r="K244"/>
      <c r="L244"/>
      <c r="M244"/>
      <c r="N244"/>
    </row>
    <row r="245" spans="1:14" ht="15" outlineLevel="1" x14ac:dyDescent="0.2">
      <c r="A245" s="43" t="s">
        <v>104</v>
      </c>
      <c r="B245" s="31"/>
      <c r="E245" s="3">
        <v>0</v>
      </c>
      <c r="F245" s="3">
        <f t="shared" ref="F245:J245" si="79">+E251</f>
        <v>0</v>
      </c>
      <c r="G245" s="3">
        <f t="shared" si="79"/>
        <v>0</v>
      </c>
      <c r="H245" s="3">
        <f t="shared" si="79"/>
        <v>0</v>
      </c>
      <c r="I245" s="3">
        <f t="shared" si="79"/>
        <v>0</v>
      </c>
      <c r="J245" s="3">
        <f t="shared" si="79"/>
        <v>0</v>
      </c>
      <c r="K245"/>
      <c r="L245"/>
      <c r="M245"/>
      <c r="N245"/>
    </row>
    <row r="246" spans="1:14" ht="15" outlineLevel="1" x14ac:dyDescent="0.2">
      <c r="A246" s="43" t="s">
        <v>105</v>
      </c>
      <c r="B246" s="31"/>
      <c r="E246" s="3">
        <f>D119</f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/>
      <c r="L246"/>
      <c r="M246"/>
      <c r="N246"/>
    </row>
    <row r="247" spans="1:14" ht="15" outlineLevel="1" x14ac:dyDescent="0.2">
      <c r="A247" s="128" t="s">
        <v>106</v>
      </c>
      <c r="B247" s="33"/>
      <c r="C247" s="19"/>
      <c r="D247" s="19"/>
      <c r="E247" s="15">
        <f t="shared" ref="E247:J247" si="80">SUM(E245:E246)</f>
        <v>0</v>
      </c>
      <c r="F247" s="15">
        <f t="shared" si="80"/>
        <v>0</v>
      </c>
      <c r="G247" s="15">
        <f t="shared" si="80"/>
        <v>0</v>
      </c>
      <c r="H247" s="15">
        <f t="shared" si="80"/>
        <v>0</v>
      </c>
      <c r="I247" s="15">
        <f t="shared" si="80"/>
        <v>0</v>
      </c>
      <c r="J247" s="15">
        <f t="shared" si="80"/>
        <v>0</v>
      </c>
      <c r="K247"/>
      <c r="L247"/>
      <c r="M247"/>
      <c r="N247"/>
    </row>
    <row r="248" spans="1:14" ht="15" outlineLevel="1" x14ac:dyDescent="0.2">
      <c r="A248" s="125" t="s">
        <v>109</v>
      </c>
      <c r="B248" s="35"/>
      <c r="E248" s="3">
        <f t="shared" ref="E248:J248" si="81">IF(E2&lt;$D$120+$D$122,$D$124,0)</f>
        <v>0</v>
      </c>
      <c r="F248" s="3">
        <f t="shared" si="81"/>
        <v>0</v>
      </c>
      <c r="G248" s="3">
        <f t="shared" si="81"/>
        <v>0</v>
      </c>
      <c r="H248" s="3">
        <f t="shared" si="81"/>
        <v>0</v>
      </c>
      <c r="I248" s="3">
        <f t="shared" si="81"/>
        <v>0</v>
      </c>
      <c r="J248" s="3">
        <f t="shared" si="81"/>
        <v>0</v>
      </c>
      <c r="K248"/>
      <c r="L248"/>
      <c r="M248"/>
      <c r="N248"/>
    </row>
    <row r="249" spans="1:14" ht="15" outlineLevel="1" x14ac:dyDescent="0.2">
      <c r="A249" s="43" t="s">
        <v>107</v>
      </c>
      <c r="B249" s="31"/>
      <c r="E249" s="3">
        <f t="shared" ref="E249:J249" si="82">E247*$D$121</f>
        <v>0</v>
      </c>
      <c r="F249" s="3">
        <f t="shared" si="82"/>
        <v>0</v>
      </c>
      <c r="G249" s="3">
        <f t="shared" si="82"/>
        <v>0</v>
      </c>
      <c r="H249" s="3">
        <f t="shared" si="82"/>
        <v>0</v>
      </c>
      <c r="I249" s="3">
        <f t="shared" si="82"/>
        <v>0</v>
      </c>
      <c r="J249" s="3">
        <f t="shared" si="82"/>
        <v>0</v>
      </c>
      <c r="K249"/>
      <c r="L249"/>
      <c r="M249"/>
      <c r="N249"/>
    </row>
    <row r="250" spans="1:14" ht="15" outlineLevel="1" x14ac:dyDescent="0.2">
      <c r="A250" s="43" t="s">
        <v>46</v>
      </c>
      <c r="B250" s="31"/>
      <c r="E250" s="3">
        <f t="shared" ref="E250:J250" si="83">E248+E249</f>
        <v>0</v>
      </c>
      <c r="F250" s="3">
        <f t="shared" si="83"/>
        <v>0</v>
      </c>
      <c r="G250" s="3">
        <f t="shared" si="83"/>
        <v>0</v>
      </c>
      <c r="H250" s="3">
        <f t="shared" si="83"/>
        <v>0</v>
      </c>
      <c r="I250" s="3">
        <f t="shared" si="83"/>
        <v>0</v>
      </c>
      <c r="J250" s="3">
        <f t="shared" si="83"/>
        <v>0</v>
      </c>
      <c r="K250"/>
      <c r="L250"/>
      <c r="M250"/>
      <c r="N250"/>
    </row>
    <row r="251" spans="1:14" ht="15" outlineLevel="1" x14ac:dyDescent="0.2">
      <c r="A251" s="128" t="s">
        <v>108</v>
      </c>
      <c r="B251" s="33"/>
      <c r="C251" s="19"/>
      <c r="D251" s="19"/>
      <c r="E251" s="15">
        <f>E247+E250</f>
        <v>0</v>
      </c>
      <c r="F251" s="15">
        <f>F245+F250</f>
        <v>0</v>
      </c>
      <c r="G251" s="15">
        <f t="shared" ref="G251:I251" si="84">G245+G250</f>
        <v>0</v>
      </c>
      <c r="H251" s="15">
        <f t="shared" si="84"/>
        <v>0</v>
      </c>
      <c r="I251" s="15">
        <f t="shared" si="84"/>
        <v>0</v>
      </c>
      <c r="J251" s="15">
        <f>J245+J250</f>
        <v>0</v>
      </c>
      <c r="K251"/>
      <c r="L251"/>
      <c r="M251"/>
      <c r="N251"/>
    </row>
    <row r="252" spans="1:14" ht="15" x14ac:dyDescent="0.2">
      <c r="K252"/>
      <c r="L252"/>
      <c r="M252"/>
      <c r="N252"/>
    </row>
    <row r="253" spans="1:14" s="12" customFormat="1" ht="19" customHeight="1" x14ac:dyDescent="0.2">
      <c r="A253" s="123" t="s">
        <v>147</v>
      </c>
      <c r="B253" s="11"/>
      <c r="C253" s="11"/>
      <c r="D253" s="11"/>
      <c r="E253" s="11"/>
      <c r="F253" s="11"/>
      <c r="G253" s="11"/>
      <c r="H253" s="11"/>
      <c r="I253" s="11"/>
      <c r="J253" s="11"/>
      <c r="K253"/>
      <c r="L253"/>
      <c r="M253"/>
      <c r="N253"/>
    </row>
    <row r="254" spans="1:14" ht="15" outlineLevel="1" x14ac:dyDescent="0.2">
      <c r="K254"/>
      <c r="L254"/>
      <c r="M254"/>
      <c r="N254"/>
    </row>
    <row r="255" spans="1:14" ht="15" outlineLevel="1" x14ac:dyDescent="0.2">
      <c r="A255" s="44" t="s">
        <v>211</v>
      </c>
      <c r="E255" s="3">
        <f t="shared" ref="E255:J255" si="85">E147/(E34)</f>
        <v>38.333333333333336</v>
      </c>
      <c r="F255" s="3">
        <f t="shared" si="85"/>
        <v>40.250000000000007</v>
      </c>
      <c r="G255" s="3">
        <f t="shared" si="85"/>
        <v>42.262500000000003</v>
      </c>
      <c r="H255" s="3">
        <f t="shared" si="85"/>
        <v>44.375625000000007</v>
      </c>
      <c r="I255" s="3">
        <f t="shared" si="85"/>
        <v>46.594406249999999</v>
      </c>
      <c r="J255" s="3">
        <f t="shared" si="85"/>
        <v>48.924126562500007</v>
      </c>
      <c r="K255"/>
      <c r="L255"/>
      <c r="M255"/>
      <c r="N255"/>
    </row>
    <row r="256" spans="1:14" ht="15" outlineLevel="1" x14ac:dyDescent="0.2">
      <c r="A256" s="44" t="s">
        <v>205</v>
      </c>
      <c r="E256" s="3">
        <f t="shared" ref="E256:J256" si="86">(E152+E147)/E41</f>
        <v>47.75</v>
      </c>
      <c r="F256" s="3">
        <f t="shared" si="86"/>
        <v>55.56</v>
      </c>
      <c r="G256" s="3">
        <f t="shared" si="86"/>
        <v>64.300575000000009</v>
      </c>
      <c r="H256" s="3">
        <f t="shared" si="86"/>
        <v>74.076217875000026</v>
      </c>
      <c r="I256" s="3">
        <f t="shared" si="86"/>
        <v>85.002850999875051</v>
      </c>
      <c r="J256" s="3">
        <f t="shared" si="86"/>
        <v>97.209055687543938</v>
      </c>
      <c r="K256"/>
      <c r="L256"/>
      <c r="M256"/>
      <c r="N256"/>
    </row>
    <row r="257" spans="1:14" ht="15" outlineLevel="1" x14ac:dyDescent="0.2">
      <c r="A257" s="44" t="s">
        <v>22</v>
      </c>
      <c r="E257" s="25">
        <f t="shared" ref="E257:J257" si="87">E255/E256</f>
        <v>0.80279232111692844</v>
      </c>
      <c r="F257" s="25">
        <f t="shared" si="87"/>
        <v>0.72444204463642914</v>
      </c>
      <c r="G257" s="25">
        <f t="shared" si="87"/>
        <v>0.65726472897015298</v>
      </c>
      <c r="H257" s="25">
        <f t="shared" si="87"/>
        <v>0.59905360010255504</v>
      </c>
      <c r="I257" s="25">
        <f t="shared" si="87"/>
        <v>0.54815109966215714</v>
      </c>
      <c r="J257" s="25">
        <f t="shared" si="87"/>
        <v>0.50328774635724594</v>
      </c>
      <c r="K257"/>
      <c r="L257"/>
      <c r="M257"/>
      <c r="N257"/>
    </row>
    <row r="258" spans="1:14" s="17" customFormat="1" ht="15" outlineLevel="1" x14ac:dyDescent="0.2">
      <c r="A258" s="44" t="s">
        <v>209</v>
      </c>
      <c r="B258" s="3"/>
      <c r="C258" s="3"/>
      <c r="D258" s="3"/>
      <c r="E258" s="3">
        <f>E205-E209</f>
        <v>-412547.94520547945</v>
      </c>
      <c r="F258" s="3">
        <f t="shared" ref="F258:J258" si="88">F205-F209</f>
        <v>-446370.34235873283</v>
      </c>
      <c r="G258" s="3">
        <f t="shared" si="88"/>
        <v>-297747.09373590659</v>
      </c>
      <c r="H258" s="3">
        <f t="shared" si="88"/>
        <v>-40976.20377243415</v>
      </c>
      <c r="I258" s="3">
        <f t="shared" si="88"/>
        <v>393955.59403268085</v>
      </c>
      <c r="J258" s="3">
        <f t="shared" si="88"/>
        <v>1121357.6289967657</v>
      </c>
      <c r="K258"/>
      <c r="L258"/>
      <c r="M258"/>
      <c r="N258"/>
    </row>
    <row r="259" spans="1:14" outlineLevel="1" x14ac:dyDescent="0.15"/>
    <row r="260" spans="1:14" outlineLevel="1" x14ac:dyDescent="0.15"/>
    <row r="261" spans="1:14" outlineLevel="1" x14ac:dyDescent="0.15"/>
    <row r="262" spans="1:14" outlineLevel="1" x14ac:dyDescent="0.15"/>
    <row r="263" spans="1:14" outlineLevel="1" x14ac:dyDescent="0.15"/>
    <row r="264" spans="1:14" outlineLevel="1" x14ac:dyDescent="0.15"/>
    <row r="265" spans="1:14" outlineLevel="1" x14ac:dyDescent="0.15"/>
    <row r="266" spans="1:14" outlineLevel="1" x14ac:dyDescent="0.15"/>
    <row r="267" spans="1:14" outlineLevel="1" x14ac:dyDescent="0.15"/>
    <row r="268" spans="1:14" outlineLevel="1" x14ac:dyDescent="0.15"/>
    <row r="269" spans="1:14" outlineLevel="1" x14ac:dyDescent="0.15"/>
    <row r="270" spans="1:14" outlineLevel="1" x14ac:dyDescent="0.15"/>
    <row r="271" spans="1:14" outlineLevel="1" x14ac:dyDescent="0.15"/>
    <row r="272" spans="1:14" outlineLevel="1" x14ac:dyDescent="0.15"/>
    <row r="273" outlineLevel="1" x14ac:dyDescent="0.15"/>
    <row r="274" outlineLevel="1" x14ac:dyDescent="0.15"/>
    <row r="275" outlineLevel="1" x14ac:dyDescent="0.15"/>
    <row r="276" outlineLevel="1" x14ac:dyDescent="0.15"/>
    <row r="277" outlineLevel="1" x14ac:dyDescent="0.15"/>
    <row r="278" outlineLevel="1" x14ac:dyDescent="0.15"/>
    <row r="279" outlineLevel="1" x14ac:dyDescent="0.15"/>
    <row r="280" outlineLevel="1" x14ac:dyDescent="0.15"/>
    <row r="281" outlineLevel="1" x14ac:dyDescent="0.15"/>
    <row r="282" outlineLevel="1" x14ac:dyDescent="0.15"/>
    <row r="283" outlineLevel="1" x14ac:dyDescent="0.15"/>
    <row r="284" outlineLevel="1" x14ac:dyDescent="0.15"/>
    <row r="285" outlineLevel="1" x14ac:dyDescent="0.15"/>
    <row r="286" outlineLevel="1" x14ac:dyDescent="0.15"/>
    <row r="287" outlineLevel="1" x14ac:dyDescent="0.15"/>
    <row r="288" outlineLevel="1" x14ac:dyDescent="0.15"/>
    <row r="289" outlineLevel="1" x14ac:dyDescent="0.15"/>
    <row r="290" outlineLevel="1" x14ac:dyDescent="0.15"/>
    <row r="291" outlineLevel="1" x14ac:dyDescent="0.15"/>
    <row r="292" outlineLevel="1" x14ac:dyDescent="0.15"/>
    <row r="293" outlineLevel="1" x14ac:dyDescent="0.15"/>
  </sheetData>
  <conditionalFormatting sqref="A2:C2">
    <cfRule type="containsText" dxfId="3" priority="1" operator="containsText" text="OK">
      <formula>NOT(ISERROR(SEARCH("OK",A2)))</formula>
    </cfRule>
    <cfRule type="containsText" dxfId="2" priority="2" operator="containsText" text="ERROR">
      <formula>NOT(ISERROR(SEARCH("ERROR",A2)))</formula>
    </cfRule>
  </conditionalFormatting>
  <conditionalFormatting sqref="E3:J3">
    <cfRule type="containsText" dxfId="1" priority="3" operator="containsText" text="OK">
      <formula>NOT(ISERROR(SEARCH("OK",E3)))</formula>
    </cfRule>
    <cfRule type="containsText" dxfId="0" priority="4" operator="containsText" text="ERROR">
      <formula>NOT(ISERROR(SEARCH("ERROR",E3)))</formula>
    </cfRule>
  </conditionalFormatting>
  <dataValidations count="1">
    <dataValidation type="whole" allowBlank="1" showInputMessage="1" showErrorMessage="1" errorTitle="Invalid value" error="Please enter a whole number between 0 and 12." promptTitle="Months to full team" prompt="Enter 0-12. Use 0 for no hiring ramp (full salary from Day 1)." sqref="D87" xr:uid="{EF93CFF8-24A8-0C40-BDB0-ECAAB166B6A6}">
      <formula1>0</formula1>
      <formula2>12</formula2>
    </dataValidation>
  </dataValidations>
  <pageMargins left="0.7" right="0.7" top="0.75" bottom="0.75" header="0.3" footer="0.3"/>
  <pageSetup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EF46-14BD-854A-924F-7F28D64F9D53}">
  <dimension ref="A1:G91"/>
  <sheetViews>
    <sheetView workbookViewId="0">
      <pane ySplit="2" topLeftCell="A3" activePane="bottomLeft" state="frozen"/>
      <selection pane="bottomLeft" activeCell="I54" sqref="I54"/>
    </sheetView>
  </sheetViews>
  <sheetFormatPr baseColWidth="10" defaultRowHeight="15" x14ac:dyDescent="0.2"/>
  <cols>
    <col min="1" max="1" width="33.33203125" customWidth="1"/>
    <col min="2" max="7" width="18.33203125" customWidth="1"/>
  </cols>
  <sheetData>
    <row r="1" spans="1:7" ht="20" x14ac:dyDescent="0.2">
      <c r="A1" s="53" t="s">
        <v>184</v>
      </c>
      <c r="B1" s="46"/>
      <c r="C1" s="46"/>
      <c r="D1" s="46"/>
      <c r="E1" s="46"/>
      <c r="F1" s="46"/>
      <c r="G1" s="46"/>
    </row>
    <row r="2" spans="1:7" ht="20" x14ac:dyDescent="0.2">
      <c r="A2" s="54"/>
      <c r="B2" s="47">
        <v>2026</v>
      </c>
      <c r="C2" s="47">
        <v>2027</v>
      </c>
      <c r="D2" s="47">
        <v>2028</v>
      </c>
      <c r="E2" s="47">
        <v>2029</v>
      </c>
      <c r="F2" s="47">
        <v>2030</v>
      </c>
      <c r="G2" s="47">
        <v>2031</v>
      </c>
    </row>
    <row r="3" spans="1:7" x14ac:dyDescent="0.2">
      <c r="A3" s="55"/>
      <c r="B3" s="49"/>
      <c r="C3" s="49"/>
      <c r="D3" s="49"/>
      <c r="E3" s="49"/>
      <c r="F3" s="49"/>
      <c r="G3" s="49"/>
    </row>
    <row r="4" spans="1:7" ht="18" x14ac:dyDescent="0.2">
      <c r="A4" s="56" t="s">
        <v>8</v>
      </c>
      <c r="B4" s="52"/>
      <c r="C4" s="52"/>
      <c r="D4" s="52"/>
      <c r="E4" s="52"/>
      <c r="F4" s="52"/>
      <c r="G4" s="52"/>
    </row>
    <row r="5" spans="1:7" x14ac:dyDescent="0.2">
      <c r="A5" s="55"/>
      <c r="B5" s="49"/>
      <c r="C5" s="49"/>
      <c r="D5" s="49"/>
      <c r="E5" s="49"/>
      <c r="F5" s="49"/>
      <c r="G5" s="49"/>
    </row>
    <row r="6" spans="1:7" x14ac:dyDescent="0.2">
      <c r="A6" s="57" t="s">
        <v>111</v>
      </c>
      <c r="B6" s="108">
        <f>Model!E134</f>
        <v>1890625</v>
      </c>
      <c r="C6" s="108">
        <f>Model!F134</f>
        <v>3587460.9375</v>
      </c>
      <c r="D6" s="108">
        <f>Model!G134</f>
        <v>6068580.1171875</v>
      </c>
      <c r="E6" s="108">
        <f>Model!H134</f>
        <v>9650169.6289453115</v>
      </c>
      <c r="F6" s="108">
        <f>Model!I134</f>
        <v>14770441.807902776</v>
      </c>
      <c r="G6" s="108">
        <f>Model!J134</f>
        <v>22036057.761246424</v>
      </c>
    </row>
    <row r="7" spans="1:7" x14ac:dyDescent="0.2">
      <c r="A7" s="55" t="s">
        <v>217</v>
      </c>
      <c r="B7" s="108">
        <f>Model!E135</f>
        <v>-189062.5</v>
      </c>
      <c r="C7" s="108">
        <f>Model!F135</f>
        <v>-358746.09375</v>
      </c>
      <c r="D7" s="108">
        <f>Model!G135</f>
        <v>-606858.01171875</v>
      </c>
      <c r="E7" s="108">
        <f>Model!H135</f>
        <v>-965016.9628945312</v>
      </c>
      <c r="F7" s="108">
        <f>Model!I135</f>
        <v>-1477044.1807902777</v>
      </c>
      <c r="G7" s="108">
        <f>Model!J135</f>
        <v>-2203605.7761246427</v>
      </c>
    </row>
    <row r="8" spans="1:7" x14ac:dyDescent="0.2">
      <c r="A8" s="55" t="s">
        <v>237</v>
      </c>
      <c r="B8" s="108">
        <f>Model!E136</f>
        <v>-189062.5</v>
      </c>
      <c r="C8" s="108">
        <f>Model!F136</f>
        <v>-358746.09375</v>
      </c>
      <c r="D8" s="108">
        <f>Model!G136</f>
        <v>-606858.01171875</v>
      </c>
      <c r="E8" s="108">
        <f>Model!H136</f>
        <v>-965016.9628945312</v>
      </c>
      <c r="F8" s="108">
        <f>Model!I136</f>
        <v>-1477044.1807902777</v>
      </c>
      <c r="G8" s="108">
        <f>Model!J136</f>
        <v>-2203605.7761246427</v>
      </c>
    </row>
    <row r="9" spans="1:7" x14ac:dyDescent="0.2">
      <c r="A9" s="55" t="s">
        <v>238</v>
      </c>
      <c r="B9" s="108">
        <f>Model!E137</f>
        <v>0</v>
      </c>
      <c r="C9" s="108">
        <f>Model!F137</f>
        <v>0</v>
      </c>
      <c r="D9" s="108">
        <f>Model!G137</f>
        <v>0</v>
      </c>
      <c r="E9" s="108">
        <f>Model!H137</f>
        <v>0</v>
      </c>
      <c r="F9" s="108">
        <f>Model!I137</f>
        <v>0</v>
      </c>
      <c r="G9" s="108">
        <f>Model!J137</f>
        <v>0</v>
      </c>
    </row>
    <row r="10" spans="1:7" x14ac:dyDescent="0.2">
      <c r="A10" s="55" t="s">
        <v>239</v>
      </c>
      <c r="B10" s="108">
        <f>Model!E138</f>
        <v>-54828.125</v>
      </c>
      <c r="C10" s="108">
        <f>Model!F138</f>
        <v>-104036.3671875</v>
      </c>
      <c r="D10" s="108">
        <f>Model!G138</f>
        <v>-175988.8233984375</v>
      </c>
      <c r="E10" s="108">
        <f>Model!H138</f>
        <v>-279854.91923941404</v>
      </c>
      <c r="F10" s="108">
        <f>Model!I138</f>
        <v>-428342.81242918054</v>
      </c>
      <c r="G10" s="108">
        <f>Model!J138</f>
        <v>-639045.67507614638</v>
      </c>
    </row>
    <row r="11" spans="1:7" x14ac:dyDescent="0.2">
      <c r="A11" s="57" t="s">
        <v>112</v>
      </c>
      <c r="B11" s="109">
        <f>Model!E139</f>
        <v>1457671.875</v>
      </c>
      <c r="C11" s="109">
        <f>Model!F139</f>
        <v>2765932.3828125</v>
      </c>
      <c r="D11" s="109">
        <f>Model!G139</f>
        <v>4678875.2703515626</v>
      </c>
      <c r="E11" s="109">
        <f>Model!H139</f>
        <v>7440280.7839168357</v>
      </c>
      <c r="F11" s="109">
        <f>Model!I139</f>
        <v>11388010.633893041</v>
      </c>
      <c r="G11" s="109">
        <f>Model!J139</f>
        <v>16989800.533920996</v>
      </c>
    </row>
    <row r="12" spans="1:7" x14ac:dyDescent="0.2">
      <c r="A12" s="55"/>
      <c r="B12" s="108"/>
      <c r="C12" s="108"/>
      <c r="D12" s="108"/>
      <c r="E12" s="108"/>
      <c r="F12" s="108"/>
      <c r="G12" s="108"/>
    </row>
    <row r="13" spans="1:7" x14ac:dyDescent="0.2">
      <c r="A13" s="55" t="s">
        <v>113</v>
      </c>
      <c r="B13" s="108">
        <f>Model!E142</f>
        <v>945312.5</v>
      </c>
      <c r="C13" s="108">
        <f>Model!F142</f>
        <v>1775793.1640625</v>
      </c>
      <c r="D13" s="108">
        <f>Model!G142</f>
        <v>2973907.6864277343</v>
      </c>
      <c r="E13" s="108">
        <f>Model!H142</f>
        <v>4681774.9703980032</v>
      </c>
      <c r="F13" s="108">
        <f>Model!I142</f>
        <v>7094213.7333042957</v>
      </c>
      <c r="G13" s="108">
        <f>Model!J142</f>
        <v>10478035.834983509</v>
      </c>
    </row>
    <row r="14" spans="1:7" x14ac:dyDescent="0.2">
      <c r="A14" s="57" t="s">
        <v>114</v>
      </c>
      <c r="B14" s="109">
        <f>Model!E143</f>
        <v>512359.375</v>
      </c>
      <c r="C14" s="109">
        <f>Model!F143</f>
        <v>990139.21875</v>
      </c>
      <c r="D14" s="109">
        <f>Model!G143</f>
        <v>1704967.5839238283</v>
      </c>
      <c r="E14" s="109">
        <f>Model!H143</f>
        <v>2758505.8135188324</v>
      </c>
      <c r="F14" s="109">
        <f>Model!I143</f>
        <v>4293796.9005887453</v>
      </c>
      <c r="G14" s="109">
        <f>Model!J143</f>
        <v>6511764.6989374869</v>
      </c>
    </row>
    <row r="15" spans="1:7" x14ac:dyDescent="0.2">
      <c r="A15" s="58" t="s">
        <v>224</v>
      </c>
      <c r="B15" s="50">
        <f>Model!E144</f>
        <v>0.35149156939040205</v>
      </c>
      <c r="C15" s="50">
        <f>Model!F144</f>
        <v>0.35797665369649806</v>
      </c>
      <c r="D15" s="50">
        <f>Model!G144</f>
        <v>0.36439688715953311</v>
      </c>
      <c r="E15" s="50">
        <f>Model!H144</f>
        <v>0.37075291828793783</v>
      </c>
      <c r="F15" s="50">
        <f>Model!I144</f>
        <v>0.37704538910505847</v>
      </c>
      <c r="G15" s="50">
        <f>Model!J144</f>
        <v>0.38327493521400791</v>
      </c>
    </row>
    <row r="16" spans="1:7" x14ac:dyDescent="0.2">
      <c r="A16" s="55"/>
      <c r="B16" s="49"/>
      <c r="C16" s="49"/>
      <c r="D16" s="49"/>
      <c r="E16" s="49"/>
      <c r="F16" s="49"/>
      <c r="G16" s="49"/>
    </row>
    <row r="17" spans="1:7" x14ac:dyDescent="0.2">
      <c r="A17" s="57" t="s">
        <v>116</v>
      </c>
      <c r="B17" s="51"/>
      <c r="C17" s="51"/>
      <c r="D17" s="51"/>
      <c r="E17" s="51"/>
      <c r="F17" s="51"/>
      <c r="G17" s="51"/>
    </row>
    <row r="18" spans="1:7" x14ac:dyDescent="0.2">
      <c r="A18" s="55" t="s">
        <v>243</v>
      </c>
      <c r="B18" s="108">
        <f>Model!E147</f>
        <v>71875</v>
      </c>
      <c r="C18" s="108">
        <f>Model!F147</f>
        <v>90562.500000000015</v>
      </c>
      <c r="D18" s="108">
        <f>Model!G147</f>
        <v>114108.75000000001</v>
      </c>
      <c r="E18" s="108">
        <f>Model!H147</f>
        <v>143777.02500000002</v>
      </c>
      <c r="F18" s="108">
        <f>Model!I147</f>
        <v>181159.0515</v>
      </c>
      <c r="G18" s="108">
        <f>Model!J147</f>
        <v>228260.40489000001</v>
      </c>
    </row>
    <row r="19" spans="1:7" x14ac:dyDescent="0.2">
      <c r="A19" s="55" t="s">
        <v>240</v>
      </c>
      <c r="B19" s="108">
        <f>Model!E148</f>
        <v>128562.5</v>
      </c>
      <c r="C19" s="108">
        <f>Model!F148</f>
        <v>226205.71875</v>
      </c>
      <c r="D19" s="108">
        <f>Model!G148</f>
        <v>354822.35641874996</v>
      </c>
      <c r="E19" s="108">
        <f>Model!H148</f>
        <v>523198.29480719625</v>
      </c>
      <c r="F19" s="108">
        <f>Model!I148</f>
        <v>742561.3575979853</v>
      </c>
      <c r="G19" s="108">
        <f>Model!J148</f>
        <v>1027259.6928694021</v>
      </c>
    </row>
    <row r="20" spans="1:7" x14ac:dyDescent="0.2">
      <c r="A20" s="55" t="s">
        <v>241</v>
      </c>
      <c r="B20" s="108">
        <f>Model!E149</f>
        <v>11343.75</v>
      </c>
      <c r="C20" s="108">
        <f>Model!F149</f>
        <v>19567.96875</v>
      </c>
      <c r="D20" s="108">
        <f>Model!G149</f>
        <v>30092.1328125</v>
      </c>
      <c r="E20" s="108">
        <f>Model!H149</f>
        <v>43501.891640624999</v>
      </c>
      <c r="F20" s="108">
        <f>Model!I149</f>
        <v>60530.462978906253</v>
      </c>
      <c r="G20" s="108">
        <f>Model!J149</f>
        <v>82095.94884072656</v>
      </c>
    </row>
    <row r="21" spans="1:7" x14ac:dyDescent="0.2">
      <c r="A21" s="55" t="s">
        <v>242</v>
      </c>
      <c r="B21" s="108">
        <f>Model!E150</f>
        <v>11343.75</v>
      </c>
      <c r="C21" s="108">
        <f>Model!F150</f>
        <v>19567.96875</v>
      </c>
      <c r="D21" s="108">
        <f>Model!G150</f>
        <v>30092.1328125</v>
      </c>
      <c r="E21" s="108">
        <f>Model!H150</f>
        <v>43501.891640624999</v>
      </c>
      <c r="F21" s="108">
        <f>Model!I150</f>
        <v>60530.462978906253</v>
      </c>
      <c r="G21" s="108">
        <f>Model!J150</f>
        <v>82095.94884072656</v>
      </c>
    </row>
    <row r="22" spans="1:7" x14ac:dyDescent="0.2">
      <c r="A22" s="57" t="s">
        <v>220</v>
      </c>
      <c r="B22" s="109">
        <f>Model!E151</f>
        <v>223125</v>
      </c>
      <c r="C22" s="109">
        <f>Model!F151</f>
        <v>355904.15625</v>
      </c>
      <c r="D22" s="109">
        <f>Model!G151</f>
        <v>529115.37204375002</v>
      </c>
      <c r="E22" s="109">
        <f>Model!H151</f>
        <v>753979.10308844619</v>
      </c>
      <c r="F22" s="109">
        <f>Model!I151</f>
        <v>1044781.3350557978</v>
      </c>
      <c r="G22" s="109">
        <f>Model!J151</f>
        <v>1419711.9954408554</v>
      </c>
    </row>
    <row r="23" spans="1:7" x14ac:dyDescent="0.2">
      <c r="A23" s="57" t="s">
        <v>118</v>
      </c>
      <c r="B23" s="110">
        <f>Model!E152</f>
        <v>289234.375</v>
      </c>
      <c r="C23" s="110">
        <f>Model!F152</f>
        <v>634235.0625</v>
      </c>
      <c r="D23" s="110">
        <f>Model!G152</f>
        <v>1175852.2118800783</v>
      </c>
      <c r="E23" s="110">
        <f>Model!H152</f>
        <v>2004526.7104303862</v>
      </c>
      <c r="F23" s="110">
        <f>Model!I152</f>
        <v>3249015.5655329474</v>
      </c>
      <c r="G23" s="110">
        <f>Model!J152</f>
        <v>5092052.7034966312</v>
      </c>
    </row>
    <row r="24" spans="1:7" x14ac:dyDescent="0.2">
      <c r="A24" s="58" t="s">
        <v>225</v>
      </c>
      <c r="B24" s="50">
        <f>Model!E153</f>
        <v>0.19842214147131021</v>
      </c>
      <c r="C24" s="50">
        <f>Model!F153</f>
        <v>0.22930244659671936</v>
      </c>
      <c r="D24" s="50">
        <f>Model!G153</f>
        <v>0.25131086937304203</v>
      </c>
      <c r="E24" s="50">
        <f>Model!H153</f>
        <v>0.26941546544364825</v>
      </c>
      <c r="F24" s="50">
        <f>Model!I153</f>
        <v>0.28530141654971897</v>
      </c>
      <c r="G24" s="50">
        <f>Model!J153</f>
        <v>0.29971232995526287</v>
      </c>
    </row>
    <row r="25" spans="1:7" x14ac:dyDescent="0.2">
      <c r="A25" s="55"/>
      <c r="B25" s="49"/>
      <c r="C25" s="49"/>
      <c r="D25" s="49"/>
      <c r="E25" s="49"/>
      <c r="F25" s="49"/>
      <c r="G25" s="49"/>
    </row>
    <row r="26" spans="1:7" x14ac:dyDescent="0.2">
      <c r="A26" s="57" t="s">
        <v>120</v>
      </c>
      <c r="B26" s="51"/>
      <c r="C26" s="51"/>
      <c r="D26" s="51"/>
      <c r="E26" s="51"/>
      <c r="F26" s="51"/>
      <c r="G26" s="51"/>
    </row>
    <row r="27" spans="1:7" x14ac:dyDescent="0.2">
      <c r="A27" s="55" t="s">
        <v>216</v>
      </c>
      <c r="B27" s="108">
        <f>Model!E156</f>
        <v>0</v>
      </c>
      <c r="C27" s="108">
        <f>Model!F156</f>
        <v>150000</v>
      </c>
      <c r="D27" s="108">
        <f>Model!G156</f>
        <v>157500</v>
      </c>
      <c r="E27" s="108">
        <f>Model!H156</f>
        <v>165375</v>
      </c>
      <c r="F27" s="108">
        <f>Model!I156</f>
        <v>173643.75000000003</v>
      </c>
      <c r="G27" s="108">
        <f>Model!J156</f>
        <v>182325.9375</v>
      </c>
    </row>
    <row r="28" spans="1:7" x14ac:dyDescent="0.2">
      <c r="A28" s="55" t="s">
        <v>219</v>
      </c>
      <c r="B28" s="108">
        <f>Model!E157</f>
        <v>278000</v>
      </c>
      <c r="C28" s="108">
        <f>Model!F157</f>
        <v>413150</v>
      </c>
      <c r="D28" s="108">
        <f>Model!G157</f>
        <v>428807.5</v>
      </c>
      <c r="E28" s="108">
        <f>Model!H157</f>
        <v>445247.875</v>
      </c>
      <c r="F28" s="108">
        <f>Model!I157</f>
        <v>462510.26874999999</v>
      </c>
      <c r="G28" s="108">
        <f>Model!J157</f>
        <v>480635.78218749998</v>
      </c>
    </row>
    <row r="29" spans="1:7" x14ac:dyDescent="0.2">
      <c r="A29" s="57" t="s">
        <v>223</v>
      </c>
      <c r="B29" s="109">
        <f>Model!E158</f>
        <v>278000</v>
      </c>
      <c r="C29" s="109">
        <f>Model!F158</f>
        <v>563150</v>
      </c>
      <c r="D29" s="109">
        <f>Model!G158</f>
        <v>586307.5</v>
      </c>
      <c r="E29" s="109">
        <f>Model!H158</f>
        <v>610622.875</v>
      </c>
      <c r="F29" s="109">
        <f>Model!I158</f>
        <v>636154.01875000005</v>
      </c>
      <c r="G29" s="109">
        <f>Model!J158</f>
        <v>662961.71968750004</v>
      </c>
    </row>
    <row r="30" spans="1:7" x14ac:dyDescent="0.2">
      <c r="A30" s="55"/>
      <c r="B30" s="108"/>
      <c r="C30" s="108"/>
      <c r="D30" s="108"/>
      <c r="E30" s="108"/>
      <c r="F30" s="108"/>
      <c r="G30" s="108"/>
    </row>
    <row r="31" spans="1:7" x14ac:dyDescent="0.2">
      <c r="A31" s="57" t="s">
        <v>12</v>
      </c>
      <c r="B31" s="110">
        <f>Model!E159</f>
        <v>11234.375</v>
      </c>
      <c r="C31" s="110">
        <f>Model!F159</f>
        <v>71085.0625</v>
      </c>
      <c r="D31" s="110">
        <f>Model!G159</f>
        <v>589544.71188007831</v>
      </c>
      <c r="E31" s="110">
        <f>Model!H159</f>
        <v>1393903.8354303862</v>
      </c>
      <c r="F31" s="110">
        <f>Model!I159</f>
        <v>2612861.5467829471</v>
      </c>
      <c r="G31" s="110">
        <f>Model!J159</f>
        <v>4429090.9838091312</v>
      </c>
    </row>
    <row r="32" spans="1:7" x14ac:dyDescent="0.2">
      <c r="A32" s="58" t="s">
        <v>227</v>
      </c>
      <c r="B32" s="50">
        <f>Model!E160</f>
        <v>7.7070671340215028E-3</v>
      </c>
      <c r="C32" s="50">
        <f>Model!F160</f>
        <v>2.5700217019664861E-2</v>
      </c>
      <c r="D32" s="50">
        <f>Model!G160</f>
        <v>0.1260013737950704</v>
      </c>
      <c r="E32" s="50">
        <f>Model!H160</f>
        <v>0.18734559567207412</v>
      </c>
      <c r="F32" s="50">
        <f>Model!I160</f>
        <v>0.22943968273146309</v>
      </c>
      <c r="G32" s="50">
        <f>Model!J160</f>
        <v>0.26069117026808097</v>
      </c>
    </row>
    <row r="33" spans="1:7" x14ac:dyDescent="0.2">
      <c r="A33" s="55"/>
      <c r="B33" s="49"/>
      <c r="C33" s="49"/>
      <c r="D33" s="49"/>
      <c r="E33" s="49"/>
      <c r="F33" s="49"/>
      <c r="G33" s="49"/>
    </row>
    <row r="34" spans="1:7" x14ac:dyDescent="0.2">
      <c r="A34" s="55" t="s">
        <v>7</v>
      </c>
      <c r="B34" s="108">
        <f>Model!E162</f>
        <v>37812.5</v>
      </c>
      <c r="C34" s="108">
        <f>Model!F162</f>
        <v>109561.71875</v>
      </c>
      <c r="D34" s="108">
        <f>Model!G162</f>
        <v>230933.32109375001</v>
      </c>
      <c r="E34" s="108">
        <f>Model!H162</f>
        <v>423936.71367265622</v>
      </c>
      <c r="F34" s="108">
        <f>Model!I162</f>
        <v>719345.54983071168</v>
      </c>
      <c r="G34" s="108">
        <f>Model!J162</f>
        <v>1267566.5241225134</v>
      </c>
    </row>
    <row r="35" spans="1:7" x14ac:dyDescent="0.2">
      <c r="A35" s="55" t="s">
        <v>215</v>
      </c>
      <c r="B35" s="108">
        <f>Model!E163</f>
        <v>0</v>
      </c>
      <c r="C35" s="108">
        <f>Model!F163</f>
        <v>0</v>
      </c>
      <c r="D35" s="108">
        <f>Model!G163</f>
        <v>0</v>
      </c>
      <c r="E35" s="108">
        <f>Model!H163</f>
        <v>0</v>
      </c>
      <c r="F35" s="108">
        <f>Model!I163</f>
        <v>0</v>
      </c>
      <c r="G35" s="108">
        <f>Model!J163</f>
        <v>0</v>
      </c>
    </row>
    <row r="36" spans="1:7" x14ac:dyDescent="0.2">
      <c r="A36" s="57" t="s">
        <v>123</v>
      </c>
      <c r="B36" s="109">
        <f>Model!E164</f>
        <v>-26578.125</v>
      </c>
      <c r="C36" s="109">
        <f>Model!F164</f>
        <v>-38476.65625</v>
      </c>
      <c r="D36" s="109">
        <f>Model!G164</f>
        <v>358611.39078632829</v>
      </c>
      <c r="E36" s="109">
        <f>Model!H164</f>
        <v>969967.12175773003</v>
      </c>
      <c r="F36" s="109">
        <f>Model!I164</f>
        <v>1893515.9969522355</v>
      </c>
      <c r="G36" s="109">
        <f>Model!J164</f>
        <v>3161524.4596866178</v>
      </c>
    </row>
    <row r="37" spans="1:7" x14ac:dyDescent="0.2">
      <c r="A37" s="55"/>
      <c r="B37" s="108"/>
      <c r="C37" s="108"/>
      <c r="D37" s="108"/>
      <c r="E37" s="108"/>
      <c r="F37" s="108"/>
      <c r="G37" s="108"/>
    </row>
    <row r="38" spans="1:7" x14ac:dyDescent="0.2">
      <c r="A38" s="55" t="s">
        <v>218</v>
      </c>
      <c r="B38" s="108">
        <f>Model!E166</f>
        <v>0</v>
      </c>
      <c r="C38" s="108">
        <f>Model!F166</f>
        <v>0</v>
      </c>
      <c r="D38" s="108">
        <f>Model!G166</f>
        <v>89652.847696582074</v>
      </c>
      <c r="E38" s="108">
        <f>Model!H166</f>
        <v>242491.78043943251</v>
      </c>
      <c r="F38" s="108">
        <f>Model!I166</f>
        <v>473378.99923805887</v>
      </c>
      <c r="G38" s="108">
        <f>Model!J166</f>
        <v>790381.11492165446</v>
      </c>
    </row>
    <row r="39" spans="1:7" ht="16" thickBot="1" x14ac:dyDescent="0.25">
      <c r="A39" s="57" t="s">
        <v>121</v>
      </c>
      <c r="B39" s="109">
        <f>Model!E167</f>
        <v>-26578.125</v>
      </c>
      <c r="C39" s="109">
        <f>Model!F167</f>
        <v>-38476.65625</v>
      </c>
      <c r="D39" s="109">
        <f>Model!G167</f>
        <v>268958.54308974621</v>
      </c>
      <c r="E39" s="109">
        <f>Model!H167</f>
        <v>727475.34131829755</v>
      </c>
      <c r="F39" s="109">
        <f>Model!I167</f>
        <v>1420136.9977141765</v>
      </c>
      <c r="G39" s="109">
        <f>Model!J167</f>
        <v>2371143.3447649633</v>
      </c>
    </row>
    <row r="40" spans="1:7" ht="16" thickTop="1" x14ac:dyDescent="0.2">
      <c r="A40" s="55"/>
      <c r="B40" s="69"/>
      <c r="C40" s="69"/>
      <c r="D40" s="69"/>
      <c r="E40" s="69"/>
      <c r="F40" s="69"/>
      <c r="G40" s="69"/>
    </row>
    <row r="41" spans="1:7" x14ac:dyDescent="0.2">
      <c r="A41" s="55"/>
      <c r="B41" s="49"/>
      <c r="C41" s="49"/>
      <c r="D41" s="49"/>
      <c r="E41" s="49"/>
      <c r="F41" s="49"/>
      <c r="G41" s="49"/>
    </row>
    <row r="42" spans="1:7" ht="18" x14ac:dyDescent="0.2">
      <c r="A42" s="56" t="s">
        <v>15</v>
      </c>
      <c r="B42" s="52"/>
      <c r="C42" s="52"/>
      <c r="D42" s="52"/>
      <c r="E42" s="52"/>
      <c r="F42" s="52"/>
      <c r="G42" s="52"/>
    </row>
    <row r="43" spans="1:7" x14ac:dyDescent="0.2">
      <c r="A43" s="55"/>
      <c r="B43" s="49"/>
      <c r="C43" s="49"/>
      <c r="D43" s="49"/>
      <c r="E43" s="49"/>
      <c r="F43" s="49"/>
      <c r="G43" s="49"/>
    </row>
    <row r="44" spans="1:7" x14ac:dyDescent="0.2">
      <c r="A44" s="57" t="s">
        <v>16</v>
      </c>
      <c r="B44" s="51"/>
      <c r="C44" s="51"/>
      <c r="D44" s="51"/>
      <c r="E44" s="51"/>
      <c r="F44" s="51"/>
      <c r="G44" s="51"/>
    </row>
    <row r="45" spans="1:7" x14ac:dyDescent="0.2">
      <c r="A45" s="55" t="s">
        <v>17</v>
      </c>
      <c r="B45" s="108">
        <f>Model!E175</f>
        <v>87452.054794520547</v>
      </c>
      <c r="C45" s="108">
        <f>Model!F175</f>
        <v>-358918.28756421228</v>
      </c>
      <c r="D45" s="108">
        <f>Model!G175</f>
        <v>-656665.38130011887</v>
      </c>
      <c r="E45" s="108">
        <f>Model!H175</f>
        <v>-697641.58507255302</v>
      </c>
      <c r="F45" s="108">
        <f>Model!I175</f>
        <v>-303685.99103987217</v>
      </c>
      <c r="G45" s="108">
        <f>Model!J175</f>
        <v>817671.63795689354</v>
      </c>
    </row>
    <row r="46" spans="1:7" x14ac:dyDescent="0.2">
      <c r="A46" s="55" t="s">
        <v>125</v>
      </c>
      <c r="B46" s="108">
        <f>Model!E176</f>
        <v>19968.107876712329</v>
      </c>
      <c r="C46" s="108">
        <f>Model!F176</f>
        <v>37889.484696061641</v>
      </c>
      <c r="D46" s="108">
        <f>Model!G176</f>
        <v>64094.181785637847</v>
      </c>
      <c r="E46" s="108">
        <f>Model!H176</f>
        <v>101921.65457420323</v>
      </c>
      <c r="F46" s="108">
        <f>Model!I176</f>
        <v>156000.14566976769</v>
      </c>
      <c r="G46" s="108">
        <f>Model!J176</f>
        <v>232736.99361535613</v>
      </c>
    </row>
    <row r="47" spans="1:7" x14ac:dyDescent="0.2">
      <c r="A47" s="55" t="s">
        <v>18</v>
      </c>
      <c r="B47" s="108">
        <f>Model!E177</f>
        <v>310787.67123287672</v>
      </c>
      <c r="C47" s="108">
        <f>Model!F177</f>
        <v>530747.64554794517</v>
      </c>
      <c r="D47" s="108">
        <f>Model!G177</f>
        <v>808035.5991652396</v>
      </c>
      <c r="E47" s="108">
        <f>Model!H177</f>
        <v>1156434.0262193638</v>
      </c>
      <c r="F47" s="108">
        <f>Model!I177</f>
        <v>1593022.4992052065</v>
      </c>
      <c r="G47" s="108">
        <f>Model!J177</f>
        <v>2138970.698209051</v>
      </c>
    </row>
    <row r="48" spans="1:7" x14ac:dyDescent="0.2">
      <c r="A48" s="57" t="s">
        <v>124</v>
      </c>
      <c r="B48" s="109">
        <f>Model!E178</f>
        <v>418207.8339041096</v>
      </c>
      <c r="C48" s="109">
        <f>Model!F178</f>
        <v>209718.84267979453</v>
      </c>
      <c r="D48" s="109">
        <f>Model!G178</f>
        <v>215464.3996507586</v>
      </c>
      <c r="E48" s="109">
        <f>Model!H178</f>
        <v>560714.09572101396</v>
      </c>
      <c r="F48" s="109">
        <f>Model!I178</f>
        <v>1445336.653835102</v>
      </c>
      <c r="G48" s="109">
        <f>Model!J178</f>
        <v>3189379.3297813004</v>
      </c>
    </row>
    <row r="49" spans="1:7" x14ac:dyDescent="0.2">
      <c r="A49" s="55" t="s">
        <v>128</v>
      </c>
      <c r="B49" s="108">
        <f>Model!E179</f>
        <v>151250</v>
      </c>
      <c r="C49" s="108">
        <f>Model!F179</f>
        <v>400434.375</v>
      </c>
      <c r="D49" s="108">
        <f>Model!G179</f>
        <v>776359.06562500005</v>
      </c>
      <c r="E49" s="108">
        <f>Model!H179</f>
        <v>1317439.3148468751</v>
      </c>
      <c r="F49" s="108">
        <f>Model!I179</f>
        <v>2075137.9458064411</v>
      </c>
      <c r="G49" s="108">
        <f>Model!J179</f>
        <v>3011177.1978085707</v>
      </c>
    </row>
    <row r="50" spans="1:7" x14ac:dyDescent="0.2">
      <c r="A50" s="57" t="s">
        <v>135</v>
      </c>
      <c r="B50" s="109">
        <f>Model!E180</f>
        <v>569457.83390410966</v>
      </c>
      <c r="C50" s="109">
        <f>Model!F180</f>
        <v>610153.21767979453</v>
      </c>
      <c r="D50" s="109">
        <f>Model!G180</f>
        <v>991823.46527575864</v>
      </c>
      <c r="E50" s="109">
        <f>Model!H180</f>
        <v>1878153.410567889</v>
      </c>
      <c r="F50" s="109">
        <f>Model!I180</f>
        <v>3520474.5996415429</v>
      </c>
      <c r="G50" s="109">
        <f>Model!J180</f>
        <v>6200556.5275898706</v>
      </c>
    </row>
    <row r="51" spans="1:7" x14ac:dyDescent="0.2">
      <c r="A51" s="55"/>
      <c r="B51" s="49"/>
      <c r="C51" s="49"/>
      <c r="D51" s="49"/>
      <c r="E51" s="49"/>
      <c r="F51" s="49"/>
      <c r="G51" s="49"/>
    </row>
    <row r="52" spans="1:7" x14ac:dyDescent="0.2">
      <c r="A52" s="57" t="s">
        <v>185</v>
      </c>
      <c r="B52" s="51"/>
      <c r="C52" s="51"/>
      <c r="D52" s="51"/>
      <c r="E52" s="51"/>
      <c r="F52" s="51"/>
      <c r="G52" s="51"/>
    </row>
    <row r="53" spans="1:7" x14ac:dyDescent="0.2">
      <c r="A53" s="55" t="s">
        <v>129</v>
      </c>
      <c r="B53" s="108">
        <f>Model!E184</f>
        <v>96035.95890410959</v>
      </c>
      <c r="C53" s="108">
        <f>Model!F184</f>
        <v>175207.99892979453</v>
      </c>
      <c r="D53" s="108">
        <f>Model!G184</f>
        <v>287919.70343601238</v>
      </c>
      <c r="E53" s="108">
        <f>Model!H184</f>
        <v>446774.30740984518</v>
      </c>
      <c r="F53" s="108">
        <f>Model!I184</f>
        <v>668958.49876932276</v>
      </c>
      <c r="G53" s="108">
        <f>Model!J184</f>
        <v>977897.08195268747</v>
      </c>
    </row>
    <row r="54" spans="1:7" x14ac:dyDescent="0.2">
      <c r="A54" s="57" t="s">
        <v>130</v>
      </c>
      <c r="B54" s="109">
        <f>Model!E185</f>
        <v>96035.95890410959</v>
      </c>
      <c r="C54" s="109">
        <f>Model!F185</f>
        <v>175207.99892979453</v>
      </c>
      <c r="D54" s="109">
        <f>Model!G185</f>
        <v>287919.70343601238</v>
      </c>
      <c r="E54" s="109">
        <f>Model!H185</f>
        <v>446774.30740984518</v>
      </c>
      <c r="F54" s="109">
        <f>Model!I185</f>
        <v>668958.49876932276</v>
      </c>
      <c r="G54" s="109">
        <f>Model!J185</f>
        <v>977897.08195268747</v>
      </c>
    </row>
    <row r="55" spans="1:7" x14ac:dyDescent="0.2">
      <c r="A55" s="55" t="s">
        <v>244</v>
      </c>
      <c r="B55" s="108">
        <f>Model!E186</f>
        <v>0</v>
      </c>
      <c r="C55" s="108">
        <f>Model!F186</f>
        <v>0</v>
      </c>
      <c r="D55" s="108">
        <f>Model!G186</f>
        <v>0</v>
      </c>
      <c r="E55" s="108">
        <f>Model!H186</f>
        <v>0</v>
      </c>
      <c r="F55" s="108">
        <f>Model!I186</f>
        <v>0</v>
      </c>
      <c r="G55" s="108">
        <f>Model!J186</f>
        <v>0</v>
      </c>
    </row>
    <row r="56" spans="1:7" x14ac:dyDescent="0.2">
      <c r="A56" s="57" t="s">
        <v>134</v>
      </c>
      <c r="B56" s="109">
        <f>Model!E187</f>
        <v>96035.95890410959</v>
      </c>
      <c r="C56" s="109">
        <f>Model!F187</f>
        <v>175207.99892979453</v>
      </c>
      <c r="D56" s="109">
        <f>Model!G187</f>
        <v>287919.70343601238</v>
      </c>
      <c r="E56" s="109">
        <f>Model!H187</f>
        <v>446774.30740984518</v>
      </c>
      <c r="F56" s="109">
        <f>Model!I187</f>
        <v>668958.49876932276</v>
      </c>
      <c r="G56" s="109">
        <f>Model!J187</f>
        <v>977897.08195268747</v>
      </c>
    </row>
    <row r="57" spans="1:7" x14ac:dyDescent="0.2">
      <c r="A57" s="55"/>
      <c r="B57" s="49"/>
      <c r="C57" s="49"/>
      <c r="D57" s="49"/>
      <c r="E57" s="49"/>
      <c r="F57" s="49"/>
      <c r="G57" s="49"/>
    </row>
    <row r="58" spans="1:7" x14ac:dyDescent="0.2">
      <c r="A58" s="57" t="s">
        <v>186</v>
      </c>
      <c r="B58" s="51"/>
      <c r="C58" s="51"/>
      <c r="D58" s="51"/>
      <c r="E58" s="51"/>
      <c r="F58" s="51"/>
      <c r="G58" s="51"/>
    </row>
    <row r="59" spans="1:7" x14ac:dyDescent="0.2">
      <c r="A59" s="55" t="s">
        <v>131</v>
      </c>
      <c r="B59" s="108">
        <f>Model!E189</f>
        <v>500000</v>
      </c>
      <c r="C59" s="108">
        <f>Model!F189</f>
        <v>500000</v>
      </c>
      <c r="D59" s="108">
        <f>Model!G189</f>
        <v>500000</v>
      </c>
      <c r="E59" s="108">
        <f>Model!H189</f>
        <v>500000</v>
      </c>
      <c r="F59" s="108">
        <f>Model!I189</f>
        <v>500000</v>
      </c>
      <c r="G59" s="108">
        <f>Model!J189</f>
        <v>500000</v>
      </c>
    </row>
    <row r="60" spans="1:7" x14ac:dyDescent="0.2">
      <c r="A60" s="55" t="s">
        <v>132</v>
      </c>
      <c r="B60" s="111">
        <f>Model!E190</f>
        <v>-26578.125</v>
      </c>
      <c r="C60" s="111">
        <f>Model!F190</f>
        <v>-65054.78125</v>
      </c>
      <c r="D60" s="111">
        <f>Model!G190</f>
        <v>203903.76183974621</v>
      </c>
      <c r="E60" s="111">
        <f>Model!H190</f>
        <v>931379.1031580437</v>
      </c>
      <c r="F60" s="111">
        <f>Model!I190</f>
        <v>2351516.1008722205</v>
      </c>
      <c r="G60" s="111">
        <f>Model!J190</f>
        <v>4722659.4456371833</v>
      </c>
    </row>
    <row r="61" spans="1:7" x14ac:dyDescent="0.2">
      <c r="A61" s="57" t="s">
        <v>222</v>
      </c>
      <c r="B61" s="110">
        <f>Model!E191</f>
        <v>473421.875</v>
      </c>
      <c r="C61" s="110">
        <f>Model!F191</f>
        <v>434945.21875</v>
      </c>
      <c r="D61" s="110">
        <f>Model!G191</f>
        <v>703903.76183974626</v>
      </c>
      <c r="E61" s="110">
        <f>Model!H191</f>
        <v>1431379.1031580437</v>
      </c>
      <c r="F61" s="110">
        <f>Model!I191</f>
        <v>2851516.1008722205</v>
      </c>
      <c r="G61" s="110">
        <f>Model!J191</f>
        <v>5222659.4456371833</v>
      </c>
    </row>
    <row r="62" spans="1:7" x14ac:dyDescent="0.2">
      <c r="A62" s="55"/>
      <c r="B62" s="108"/>
      <c r="C62" s="108"/>
      <c r="D62" s="108"/>
      <c r="E62" s="108"/>
      <c r="F62" s="108"/>
      <c r="G62" s="108"/>
    </row>
    <row r="63" spans="1:7" ht="16" thickBot="1" x14ac:dyDescent="0.25">
      <c r="A63" s="57" t="s">
        <v>221</v>
      </c>
      <c r="B63" s="109">
        <f>Model!E192</f>
        <v>569457.83390410955</v>
      </c>
      <c r="C63" s="109">
        <f>Model!F192</f>
        <v>610153.21767979453</v>
      </c>
      <c r="D63" s="109">
        <f>Model!G192</f>
        <v>991823.46527575864</v>
      </c>
      <c r="E63" s="109">
        <f>Model!H192</f>
        <v>1878153.410567889</v>
      </c>
      <c r="F63" s="109">
        <f>Model!I192</f>
        <v>3520474.5996415433</v>
      </c>
      <c r="G63" s="109">
        <f>Model!J192</f>
        <v>6200556.5275898706</v>
      </c>
    </row>
    <row r="64" spans="1:7" ht="16" thickTop="1" x14ac:dyDescent="0.2">
      <c r="A64" s="58" t="s">
        <v>230</v>
      </c>
      <c r="B64" s="112">
        <f>Model!E194</f>
        <v>0</v>
      </c>
      <c r="C64" s="112">
        <f>Model!F194</f>
        <v>0</v>
      </c>
      <c r="D64" s="112">
        <f>Model!G194</f>
        <v>0</v>
      </c>
      <c r="E64" s="112">
        <f>Model!H194</f>
        <v>0</v>
      </c>
      <c r="F64" s="112">
        <f>Model!I194</f>
        <v>0</v>
      </c>
      <c r="G64" s="112">
        <f>Model!J194</f>
        <v>0</v>
      </c>
    </row>
    <row r="65" spans="1:7" x14ac:dyDescent="0.2">
      <c r="A65" s="55"/>
      <c r="B65" s="49"/>
      <c r="C65" s="49"/>
      <c r="D65" s="49"/>
      <c r="E65" s="49"/>
      <c r="F65" s="49"/>
      <c r="G65" s="49"/>
    </row>
    <row r="66" spans="1:7" x14ac:dyDescent="0.2">
      <c r="A66" s="55"/>
      <c r="B66" s="49"/>
      <c r="C66" s="49"/>
      <c r="D66" s="49"/>
      <c r="E66" s="49"/>
      <c r="F66" s="49"/>
      <c r="G66" s="49"/>
    </row>
    <row r="67" spans="1:7" ht="18" x14ac:dyDescent="0.2">
      <c r="A67" s="56" t="s">
        <v>20</v>
      </c>
      <c r="B67" s="52"/>
      <c r="C67" s="52"/>
      <c r="D67" s="52"/>
      <c r="E67" s="52"/>
      <c r="F67" s="52"/>
      <c r="G67" s="52"/>
    </row>
    <row r="68" spans="1:7" x14ac:dyDescent="0.2">
      <c r="A68" s="55"/>
      <c r="B68" s="49"/>
      <c r="C68" s="49"/>
      <c r="D68" s="49"/>
      <c r="E68" s="49"/>
      <c r="F68" s="49"/>
      <c r="G68" s="49"/>
    </row>
    <row r="69" spans="1:7" x14ac:dyDescent="0.2">
      <c r="A69" s="57" t="s">
        <v>145</v>
      </c>
      <c r="B69" s="51"/>
      <c r="C69" s="51"/>
      <c r="D69" s="51"/>
      <c r="E69" s="51"/>
      <c r="F69" s="51"/>
      <c r="G69" s="51"/>
    </row>
    <row r="70" spans="1:7" x14ac:dyDescent="0.2">
      <c r="A70" s="55" t="s">
        <v>121</v>
      </c>
      <c r="B70" s="108">
        <f>Model!E199</f>
        <v>-26578.125</v>
      </c>
      <c r="C70" s="108">
        <f>Model!F199</f>
        <v>-38476.65625</v>
      </c>
      <c r="D70" s="108">
        <f>Model!G199</f>
        <v>268958.54308974621</v>
      </c>
      <c r="E70" s="108">
        <f>Model!H199</f>
        <v>727475.34131829755</v>
      </c>
      <c r="F70" s="108">
        <f>Model!I199</f>
        <v>1420136.9977141765</v>
      </c>
      <c r="G70" s="108">
        <f>Model!J199</f>
        <v>2371143.3447649633</v>
      </c>
    </row>
    <row r="71" spans="1:7" x14ac:dyDescent="0.2">
      <c r="A71" s="55" t="s">
        <v>7</v>
      </c>
      <c r="B71" s="108">
        <f>Model!E200</f>
        <v>37812.5</v>
      </c>
      <c r="C71" s="108">
        <f>Model!F200</f>
        <v>109561.71875</v>
      </c>
      <c r="D71" s="108">
        <f>Model!G200</f>
        <v>230933.32109375001</v>
      </c>
      <c r="E71" s="108">
        <f>Model!H200</f>
        <v>423936.71367265622</v>
      </c>
      <c r="F71" s="108">
        <f>Model!I200</f>
        <v>719345.54983071168</v>
      </c>
      <c r="G71" s="108">
        <f>Model!J200</f>
        <v>1267566.5241225134</v>
      </c>
    </row>
    <row r="72" spans="1:7" x14ac:dyDescent="0.2">
      <c r="A72" s="57" t="s">
        <v>245</v>
      </c>
      <c r="B72" s="113"/>
      <c r="C72" s="113"/>
      <c r="D72" s="113"/>
      <c r="E72" s="113"/>
      <c r="F72" s="113"/>
      <c r="G72" s="113"/>
    </row>
    <row r="73" spans="1:7" x14ac:dyDescent="0.2">
      <c r="A73" s="55" t="s">
        <v>125</v>
      </c>
      <c r="B73" s="108">
        <f>Model!E202</f>
        <v>19968.107876712329</v>
      </c>
      <c r="C73" s="108">
        <f>Model!F202</f>
        <v>17921.376819349312</v>
      </c>
      <c r="D73" s="108">
        <f>Model!G202</f>
        <v>26204.697089576206</v>
      </c>
      <c r="E73" s="108">
        <f>Model!H202</f>
        <v>37827.472788565385</v>
      </c>
      <c r="F73" s="108">
        <f>Model!I202</f>
        <v>54078.491095564459</v>
      </c>
      <c r="G73" s="108">
        <f>Model!J202</f>
        <v>76736.847945588437</v>
      </c>
    </row>
    <row r="74" spans="1:7" x14ac:dyDescent="0.2">
      <c r="A74" s="55" t="s">
        <v>18</v>
      </c>
      <c r="B74" s="108">
        <f>Model!E203</f>
        <v>310787.67123287672</v>
      </c>
      <c r="C74" s="108">
        <f>Model!F203</f>
        <v>219959.97431506845</v>
      </c>
      <c r="D74" s="108">
        <f>Model!G203</f>
        <v>277287.95361729444</v>
      </c>
      <c r="E74" s="108">
        <f>Model!H203</f>
        <v>348398.42705412419</v>
      </c>
      <c r="F74" s="108">
        <f>Model!I203</f>
        <v>436588.47298584273</v>
      </c>
      <c r="G74" s="108">
        <f>Model!J203</f>
        <v>545948.19900384452</v>
      </c>
    </row>
    <row r="75" spans="1:7" x14ac:dyDescent="0.2">
      <c r="A75" s="55" t="s">
        <v>129</v>
      </c>
      <c r="B75" s="108">
        <f>Model!E204</f>
        <v>96035.95890410959</v>
      </c>
      <c r="C75" s="108">
        <f>Model!F204</f>
        <v>79172.040025684939</v>
      </c>
      <c r="D75" s="108">
        <f>Model!G204</f>
        <v>112711.70450621785</v>
      </c>
      <c r="E75" s="108">
        <f>Model!H204</f>
        <v>158854.6039738328</v>
      </c>
      <c r="F75" s="108">
        <f>Model!I204</f>
        <v>222184.19135947758</v>
      </c>
      <c r="G75" s="108">
        <f>Model!J204</f>
        <v>308938.58318336471</v>
      </c>
    </row>
    <row r="76" spans="1:7" x14ac:dyDescent="0.2">
      <c r="A76" s="57" t="s">
        <v>228</v>
      </c>
      <c r="B76" s="109">
        <f>Model!E205</f>
        <v>-223485.44520547945</v>
      </c>
      <c r="C76" s="109">
        <f>Model!F205</f>
        <v>-87624.248608732814</v>
      </c>
      <c r="D76" s="109">
        <f>Model!G205</f>
        <v>309110.91798284341</v>
      </c>
      <c r="E76" s="109">
        <f>Model!H205</f>
        <v>924040.75912209705</v>
      </c>
      <c r="F76" s="109">
        <f>Model!I205</f>
        <v>1870999.7748229585</v>
      </c>
      <c r="G76" s="109">
        <f>Model!J205</f>
        <v>3324963.4051214084</v>
      </c>
    </row>
    <row r="77" spans="1:7" x14ac:dyDescent="0.2">
      <c r="A77" s="55"/>
      <c r="B77" s="49"/>
      <c r="C77" s="49"/>
      <c r="D77" s="49"/>
      <c r="E77" s="49"/>
      <c r="F77" s="49"/>
      <c r="G77" s="49"/>
    </row>
    <row r="78" spans="1:7" x14ac:dyDescent="0.2">
      <c r="A78" s="57" t="s">
        <v>143</v>
      </c>
      <c r="B78" s="51"/>
      <c r="C78" s="51"/>
      <c r="D78" s="51"/>
      <c r="E78" s="51"/>
      <c r="F78" s="51"/>
      <c r="G78" s="51"/>
    </row>
    <row r="79" spans="1:7" x14ac:dyDescent="0.2">
      <c r="A79" s="55" t="s">
        <v>142</v>
      </c>
      <c r="B79" s="108">
        <f>Model!E208</f>
        <v>189062.5</v>
      </c>
      <c r="C79" s="108">
        <f>Model!F208</f>
        <v>358746.09375</v>
      </c>
      <c r="D79" s="108">
        <f>Model!G208</f>
        <v>606858.01171875</v>
      </c>
      <c r="E79" s="108">
        <f>Model!H208</f>
        <v>965016.9628945312</v>
      </c>
      <c r="F79" s="108">
        <f>Model!I208</f>
        <v>1477044.1807902777</v>
      </c>
      <c r="G79" s="108">
        <f>Model!J208</f>
        <v>2203605.7761246427</v>
      </c>
    </row>
    <row r="80" spans="1:7" x14ac:dyDescent="0.2">
      <c r="A80" s="57" t="s">
        <v>229</v>
      </c>
      <c r="B80" s="109">
        <f>Model!E209</f>
        <v>189062.5</v>
      </c>
      <c r="C80" s="109">
        <f>Model!F209</f>
        <v>358746.09375</v>
      </c>
      <c r="D80" s="109">
        <f>Model!G209</f>
        <v>606858.01171875</v>
      </c>
      <c r="E80" s="109">
        <f>Model!H209</f>
        <v>965016.9628945312</v>
      </c>
      <c r="F80" s="109">
        <f>Model!I209</f>
        <v>1477044.1807902777</v>
      </c>
      <c r="G80" s="109">
        <f>Model!J209</f>
        <v>2203605.7761246427</v>
      </c>
    </row>
    <row r="81" spans="1:7" x14ac:dyDescent="0.2">
      <c r="A81" s="55"/>
      <c r="B81" s="49"/>
      <c r="C81" s="49"/>
      <c r="D81" s="49"/>
      <c r="E81" s="49"/>
      <c r="F81" s="49"/>
      <c r="G81" s="49"/>
    </row>
    <row r="82" spans="1:7" x14ac:dyDescent="0.2">
      <c r="A82" s="57" t="s">
        <v>144</v>
      </c>
      <c r="B82" s="51"/>
      <c r="C82" s="51"/>
      <c r="D82" s="51"/>
      <c r="E82" s="51"/>
      <c r="F82" s="51"/>
      <c r="G82" s="51"/>
    </row>
    <row r="83" spans="1:7" x14ac:dyDescent="0.2">
      <c r="A83" s="55" t="s">
        <v>140</v>
      </c>
      <c r="B83" s="108">
        <f>Model!E212</f>
        <v>0</v>
      </c>
      <c r="C83" s="108">
        <f>Model!F212</f>
        <v>0</v>
      </c>
      <c r="D83" s="108">
        <f>Model!G212</f>
        <v>0</v>
      </c>
      <c r="E83" s="108">
        <f>Model!H212</f>
        <v>0</v>
      </c>
      <c r="F83" s="108">
        <f>Model!I212</f>
        <v>0</v>
      </c>
      <c r="G83" s="108">
        <f>Model!J212</f>
        <v>0</v>
      </c>
    </row>
    <row r="84" spans="1:7" x14ac:dyDescent="0.2">
      <c r="A84" s="55" t="s">
        <v>47</v>
      </c>
      <c r="B84" s="108">
        <f>Model!E213</f>
        <v>0</v>
      </c>
      <c r="C84" s="108">
        <f>Model!F213</f>
        <v>0</v>
      </c>
      <c r="D84" s="108">
        <f>Model!G213</f>
        <v>0</v>
      </c>
      <c r="E84" s="108">
        <f>Model!H213</f>
        <v>0</v>
      </c>
      <c r="F84" s="108">
        <f>Model!I213</f>
        <v>0</v>
      </c>
      <c r="G84" s="108">
        <f>Model!J213</f>
        <v>0</v>
      </c>
    </row>
    <row r="85" spans="1:7" x14ac:dyDescent="0.2">
      <c r="A85" s="55" t="s">
        <v>49</v>
      </c>
      <c r="B85" s="108">
        <f>Model!E215</f>
        <v>500000</v>
      </c>
      <c r="C85" s="108">
        <f>Model!F215</f>
        <v>0</v>
      </c>
      <c r="D85" s="108">
        <f>Model!G215</f>
        <v>0</v>
      </c>
      <c r="E85" s="108">
        <f>Model!H215</f>
        <v>0</v>
      </c>
      <c r="F85" s="108">
        <f>Model!I215</f>
        <v>0</v>
      </c>
      <c r="G85" s="108">
        <f>Model!J215</f>
        <v>0</v>
      </c>
    </row>
    <row r="86" spans="1:7" x14ac:dyDescent="0.2">
      <c r="A86" s="57" t="s">
        <v>226</v>
      </c>
      <c r="B86" s="109">
        <f>Model!E218</f>
        <v>500000</v>
      </c>
      <c r="C86" s="109">
        <f>Model!F218</f>
        <v>0</v>
      </c>
      <c r="D86" s="109">
        <f>Model!G218</f>
        <v>0</v>
      </c>
      <c r="E86" s="109">
        <f>Model!H218</f>
        <v>0</v>
      </c>
      <c r="F86" s="109">
        <f>Model!I218</f>
        <v>0</v>
      </c>
      <c r="G86" s="109">
        <f>Model!J218</f>
        <v>0</v>
      </c>
    </row>
    <row r="87" spans="1:7" x14ac:dyDescent="0.2">
      <c r="A87" s="55"/>
      <c r="B87" s="108"/>
      <c r="C87" s="108"/>
      <c r="D87" s="108"/>
      <c r="E87" s="108"/>
      <c r="F87" s="108"/>
      <c r="G87" s="108"/>
    </row>
    <row r="88" spans="1:7" x14ac:dyDescent="0.2">
      <c r="A88" s="55" t="s">
        <v>136</v>
      </c>
      <c r="B88" s="108">
        <f>Model!E220</f>
        <v>0</v>
      </c>
      <c r="C88" s="108">
        <f>Model!F220</f>
        <v>87452.054794520547</v>
      </c>
      <c r="D88" s="108">
        <f>Model!G220</f>
        <v>-358918.28756421228</v>
      </c>
      <c r="E88" s="108">
        <f>Model!H220</f>
        <v>-656665.38130011887</v>
      </c>
      <c r="F88" s="108">
        <f>Model!I220</f>
        <v>-697641.58507255302</v>
      </c>
      <c r="G88" s="108">
        <f>Model!J220</f>
        <v>-303685.99103987217</v>
      </c>
    </row>
    <row r="89" spans="1:7" x14ac:dyDescent="0.2">
      <c r="A89" s="55" t="s">
        <v>137</v>
      </c>
      <c r="B89" s="108">
        <f>Model!E221</f>
        <v>87452.054794520547</v>
      </c>
      <c r="C89" s="108">
        <f>Model!F221</f>
        <v>-446370.34235873283</v>
      </c>
      <c r="D89" s="108">
        <f>Model!G221</f>
        <v>-297747.09373590659</v>
      </c>
      <c r="E89" s="108">
        <f>Model!H221</f>
        <v>-40976.20377243415</v>
      </c>
      <c r="F89" s="108">
        <f>Model!I221</f>
        <v>393955.59403268085</v>
      </c>
      <c r="G89" s="108">
        <f>Model!J221</f>
        <v>1121357.6289967657</v>
      </c>
    </row>
    <row r="90" spans="1:7" ht="16" thickBot="1" x14ac:dyDescent="0.25">
      <c r="A90" s="57" t="s">
        <v>138</v>
      </c>
      <c r="B90" s="114">
        <f>Model!E222</f>
        <v>87452.054794520547</v>
      </c>
      <c r="C90" s="114">
        <f>Model!F222</f>
        <v>-358918.28756421228</v>
      </c>
      <c r="D90" s="114">
        <f>Model!G222</f>
        <v>-656665.38130011887</v>
      </c>
      <c r="E90" s="114">
        <f>Model!H222</f>
        <v>-697641.58507255302</v>
      </c>
      <c r="F90" s="114">
        <f>Model!I222</f>
        <v>-303685.99103987217</v>
      </c>
      <c r="G90" s="114">
        <f>Model!J222</f>
        <v>817671.63795689354</v>
      </c>
    </row>
    <row r="91" spans="1:7" ht="16" thickTop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1333-E47A-DC43-9548-0815797E1A22}">
  <dimension ref="A1:G19"/>
  <sheetViews>
    <sheetView tabSelected="1" workbookViewId="0">
      <pane ySplit="2" topLeftCell="A3" activePane="bottomLeft" state="frozen"/>
      <selection pane="bottomLeft"/>
    </sheetView>
  </sheetViews>
  <sheetFormatPr baseColWidth="10" defaultRowHeight="15" x14ac:dyDescent="0.2"/>
  <cols>
    <col min="1" max="1" width="33.33203125" customWidth="1"/>
    <col min="2" max="7" width="18.33203125" customWidth="1"/>
  </cols>
  <sheetData>
    <row r="1" spans="1:7" ht="20" x14ac:dyDescent="0.2">
      <c r="A1" s="53" t="s">
        <v>187</v>
      </c>
      <c r="B1" s="46"/>
      <c r="C1" s="46"/>
      <c r="D1" s="46"/>
      <c r="E1" s="46"/>
      <c r="F1" s="46"/>
      <c r="G1" s="46"/>
    </row>
    <row r="2" spans="1:7" ht="20" x14ac:dyDescent="0.2">
      <c r="A2" s="54"/>
      <c r="B2" s="67">
        <v>2026</v>
      </c>
      <c r="C2" s="67">
        <v>2027</v>
      </c>
      <c r="D2" s="67">
        <v>2028</v>
      </c>
      <c r="E2" s="67">
        <v>2029</v>
      </c>
      <c r="F2" s="67">
        <v>2030</v>
      </c>
      <c r="G2" s="67">
        <v>2031</v>
      </c>
    </row>
    <row r="3" spans="1:7" x14ac:dyDescent="0.2">
      <c r="A3" s="70"/>
      <c r="B3" s="70"/>
      <c r="C3" s="70"/>
      <c r="D3" s="70"/>
      <c r="E3" s="70"/>
      <c r="F3" s="70"/>
      <c r="G3" s="70"/>
    </row>
    <row r="4" spans="1:7" ht="18" x14ac:dyDescent="0.2">
      <c r="A4" s="56" t="s">
        <v>188</v>
      </c>
      <c r="B4" s="48"/>
      <c r="C4" s="48"/>
      <c r="D4" s="48"/>
      <c r="E4" s="48"/>
      <c r="F4" s="48"/>
      <c r="G4" s="48"/>
    </row>
    <row r="5" spans="1:7" x14ac:dyDescent="0.2">
      <c r="A5" s="136" t="s">
        <v>192</v>
      </c>
      <c r="B5" s="122"/>
      <c r="C5" s="122"/>
      <c r="D5" s="122"/>
      <c r="E5" s="122"/>
      <c r="F5" s="122"/>
      <c r="G5" s="122"/>
    </row>
    <row r="6" spans="1:7" x14ac:dyDescent="0.2">
      <c r="A6" s="55" t="s">
        <v>112</v>
      </c>
      <c r="B6" s="106">
        <f>Model!E139</f>
        <v>1457671.875</v>
      </c>
      <c r="C6" s="106">
        <f>Model!F139</f>
        <v>2765932.3828125</v>
      </c>
      <c r="D6" s="106">
        <f>Model!G139</f>
        <v>4678875.2703515626</v>
      </c>
      <c r="E6" s="106">
        <f>Model!H139</f>
        <v>7440280.7839168357</v>
      </c>
      <c r="F6" s="106">
        <f>Model!I139</f>
        <v>11388010.633893041</v>
      </c>
      <c r="G6" s="106">
        <f>Model!J139</f>
        <v>16989800.533920996</v>
      </c>
    </row>
    <row r="7" spans="1:7" x14ac:dyDescent="0.2">
      <c r="A7" s="58" t="s">
        <v>234</v>
      </c>
      <c r="B7" s="105" t="s">
        <v>190</v>
      </c>
      <c r="C7" s="71">
        <f>C6/B6-1</f>
        <v>0.89749999999999996</v>
      </c>
      <c r="D7" s="71">
        <f>D6/C6-1</f>
        <v>0.69160869565217387</v>
      </c>
      <c r="E7" s="71">
        <f>E6/D6-1</f>
        <v>0.5901857506361321</v>
      </c>
      <c r="F7" s="71">
        <f>F6/E6-1</f>
        <v>0.53058882650097727</v>
      </c>
      <c r="G7" s="71">
        <f>G6/F6-1</f>
        <v>0.49190241211716867</v>
      </c>
    </row>
    <row r="8" spans="1:7" x14ac:dyDescent="0.2">
      <c r="A8" s="55" t="s">
        <v>114</v>
      </c>
      <c r="B8" s="106">
        <f>Model!E143</f>
        <v>512359.375</v>
      </c>
      <c r="C8" s="106">
        <f>Model!F143</f>
        <v>990139.21875</v>
      </c>
      <c r="D8" s="106">
        <f>Model!G143</f>
        <v>1704967.5839238283</v>
      </c>
      <c r="E8" s="106">
        <f>Model!H143</f>
        <v>2758505.8135188324</v>
      </c>
      <c r="F8" s="106">
        <f>Model!I143</f>
        <v>4293796.9005887453</v>
      </c>
      <c r="G8" s="106">
        <f>Model!J143</f>
        <v>6511764.6989374869</v>
      </c>
    </row>
    <row r="9" spans="1:7" x14ac:dyDescent="0.2">
      <c r="A9" s="58" t="s">
        <v>224</v>
      </c>
      <c r="B9" s="71">
        <f>Model!E144</f>
        <v>0.35149156939040205</v>
      </c>
      <c r="C9" s="71">
        <f>Model!F144</f>
        <v>0.35797665369649806</v>
      </c>
      <c r="D9" s="71">
        <f>Model!G144</f>
        <v>0.36439688715953311</v>
      </c>
      <c r="E9" s="71">
        <f>Model!H144</f>
        <v>0.37075291828793783</v>
      </c>
      <c r="F9" s="71">
        <f>Model!I144</f>
        <v>0.37704538910505847</v>
      </c>
      <c r="G9" s="71">
        <f>Model!J144</f>
        <v>0.38327493521400791</v>
      </c>
    </row>
    <row r="10" spans="1:7" x14ac:dyDescent="0.2">
      <c r="A10" s="55" t="s">
        <v>12</v>
      </c>
      <c r="B10" s="106">
        <f>Model!E159</f>
        <v>11234.375</v>
      </c>
      <c r="C10" s="106">
        <f>Model!F159</f>
        <v>71085.0625</v>
      </c>
      <c r="D10" s="106">
        <f>Model!G159</f>
        <v>589544.71188007831</v>
      </c>
      <c r="E10" s="106">
        <f>Model!H159</f>
        <v>1393903.8354303862</v>
      </c>
      <c r="F10" s="106">
        <f>Model!I159</f>
        <v>2612861.5467829471</v>
      </c>
      <c r="G10" s="106">
        <f>Model!J159</f>
        <v>4429090.9838091312</v>
      </c>
    </row>
    <row r="11" spans="1:7" x14ac:dyDescent="0.2">
      <c r="A11" s="58" t="s">
        <v>227</v>
      </c>
      <c r="B11" s="71">
        <f>Model!E160</f>
        <v>7.7070671340215028E-3</v>
      </c>
      <c r="C11" s="71">
        <f>Model!F160</f>
        <v>2.5700217019664861E-2</v>
      </c>
      <c r="D11" s="71">
        <f>Model!G160</f>
        <v>0.1260013737950704</v>
      </c>
      <c r="E11" s="71">
        <f>Model!H160</f>
        <v>0.18734559567207412</v>
      </c>
      <c r="F11" s="71">
        <f>Model!I160</f>
        <v>0.22943968273146309</v>
      </c>
      <c r="G11" s="71">
        <f>Model!J160</f>
        <v>0.26069117026808097</v>
      </c>
    </row>
    <row r="12" spans="1:7" x14ac:dyDescent="0.2">
      <c r="A12" s="55" t="s">
        <v>121</v>
      </c>
      <c r="B12" s="119">
        <f>Model!E167</f>
        <v>-26578.125</v>
      </c>
      <c r="C12" s="119">
        <f>Model!F167</f>
        <v>-38476.65625</v>
      </c>
      <c r="D12" s="119">
        <f>Model!G167</f>
        <v>268958.54308974621</v>
      </c>
      <c r="E12" s="119">
        <f>Model!H167</f>
        <v>727475.34131829755</v>
      </c>
      <c r="F12" s="119">
        <f>Model!I167</f>
        <v>1420136.9977141765</v>
      </c>
      <c r="G12" s="119">
        <f>Model!J167</f>
        <v>2371143.3447649633</v>
      </c>
    </row>
    <row r="13" spans="1:7" x14ac:dyDescent="0.2">
      <c r="A13" s="136" t="s">
        <v>191</v>
      </c>
      <c r="B13" s="122"/>
      <c r="C13" s="122"/>
      <c r="D13" s="122"/>
      <c r="E13" s="122"/>
      <c r="F13" s="122"/>
      <c r="G13" s="122"/>
    </row>
    <row r="14" spans="1:7" x14ac:dyDescent="0.2">
      <c r="A14" s="55" t="s">
        <v>210</v>
      </c>
      <c r="B14" s="107">
        <f>Model!E255</f>
        <v>38.333333333333336</v>
      </c>
      <c r="C14" s="107">
        <f>Model!F255</f>
        <v>40.250000000000007</v>
      </c>
      <c r="D14" s="107">
        <f>Model!G255</f>
        <v>42.262500000000003</v>
      </c>
      <c r="E14" s="107">
        <f>Model!H255</f>
        <v>44.375625000000007</v>
      </c>
      <c r="F14" s="107">
        <f>Model!I255</f>
        <v>46.594406249999999</v>
      </c>
      <c r="G14" s="107">
        <f>Model!J255</f>
        <v>48.924126562500007</v>
      </c>
    </row>
    <row r="15" spans="1:7" x14ac:dyDescent="0.2">
      <c r="A15" s="55" t="s">
        <v>232</v>
      </c>
      <c r="B15" s="107">
        <f>Model!E134/Model!E41</f>
        <v>250</v>
      </c>
      <c r="C15" s="107">
        <f>Model!F134/Model!F41</f>
        <v>275</v>
      </c>
      <c r="D15" s="107">
        <f>Model!G134/Model!G41</f>
        <v>302.5</v>
      </c>
      <c r="E15" s="107">
        <f>Model!H134/Model!H41</f>
        <v>332.75</v>
      </c>
      <c r="F15" s="107">
        <f>Model!I134/Model!I41</f>
        <v>366.02500000000003</v>
      </c>
      <c r="G15" s="107">
        <f>Model!J134/Model!J41</f>
        <v>402.62750000000005</v>
      </c>
    </row>
    <row r="16" spans="1:7" x14ac:dyDescent="0.2">
      <c r="A16" s="55" t="s">
        <v>233</v>
      </c>
      <c r="B16" s="107">
        <f>Model!E256</f>
        <v>47.75</v>
      </c>
      <c r="C16" s="107">
        <f>Model!F256</f>
        <v>55.56</v>
      </c>
      <c r="D16" s="107">
        <f>Model!G256</f>
        <v>64.300575000000009</v>
      </c>
      <c r="E16" s="107">
        <f>Model!H256</f>
        <v>74.076217875000026</v>
      </c>
      <c r="F16" s="107">
        <f>Model!I256</f>
        <v>85.002850999875051</v>
      </c>
      <c r="G16" s="107">
        <f>Model!J256</f>
        <v>97.209055687543938</v>
      </c>
    </row>
    <row r="17" spans="1:7" x14ac:dyDescent="0.2">
      <c r="A17" s="55" t="s">
        <v>22</v>
      </c>
      <c r="B17" s="120">
        <f>Model!E257</f>
        <v>0.80279232111692844</v>
      </c>
      <c r="C17" s="120">
        <f>Model!F257</f>
        <v>0.72444204463642914</v>
      </c>
      <c r="D17" s="120">
        <f>Model!G257</f>
        <v>0.65726472897015298</v>
      </c>
      <c r="E17" s="120">
        <f>Model!H257</f>
        <v>0.59905360010255504</v>
      </c>
      <c r="F17" s="120">
        <f>Model!I257</f>
        <v>0.54815109966215714</v>
      </c>
      <c r="G17" s="120">
        <f>Model!J257</f>
        <v>0.50328774635724594</v>
      </c>
    </row>
    <row r="18" spans="1:7" x14ac:dyDescent="0.2">
      <c r="A18" s="136" t="s">
        <v>193</v>
      </c>
      <c r="B18" s="122"/>
      <c r="C18" s="122"/>
      <c r="D18" s="122"/>
      <c r="E18" s="122"/>
      <c r="F18" s="122"/>
      <c r="G18" s="122"/>
    </row>
    <row r="19" spans="1:7" x14ac:dyDescent="0.2">
      <c r="A19" s="55" t="s">
        <v>231</v>
      </c>
      <c r="B19" s="121">
        <f>Model!E41</f>
        <v>7562.5</v>
      </c>
      <c r="C19" s="121">
        <f>Model!F41</f>
        <v>13045.3125</v>
      </c>
      <c r="D19" s="121">
        <f>Model!G41</f>
        <v>20061.421875</v>
      </c>
      <c r="E19" s="121">
        <f>Model!H41</f>
        <v>29001.261093749999</v>
      </c>
      <c r="F19" s="121">
        <f>Model!I41</f>
        <v>40353.641985937502</v>
      </c>
      <c r="G19" s="121">
        <f>Model!J41</f>
        <v>54730.632560484373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E06E-F9DB-C546-AA0B-FB4372557A07}">
  <dimension ref="A1:G17"/>
  <sheetViews>
    <sheetView workbookViewId="0"/>
  </sheetViews>
  <sheetFormatPr baseColWidth="10" defaultRowHeight="15" x14ac:dyDescent="0.2"/>
  <sheetData>
    <row r="1" spans="1:7" x14ac:dyDescent="0.2">
      <c r="A1" s="137"/>
      <c r="B1" s="137">
        <v>2026</v>
      </c>
      <c r="C1" s="137">
        <v>2027</v>
      </c>
      <c r="D1" s="137">
        <v>2028</v>
      </c>
      <c r="E1" s="137">
        <v>2029</v>
      </c>
      <c r="F1" s="137">
        <v>2030</v>
      </c>
      <c r="G1" s="137">
        <v>2031</v>
      </c>
    </row>
    <row r="2" spans="1:7" x14ac:dyDescent="0.2">
      <c r="A2" t="s">
        <v>25</v>
      </c>
      <c r="B2">
        <f>Model!E134</f>
        <v>1890625</v>
      </c>
      <c r="C2">
        <f>Model!F134</f>
        <v>3587460.9375</v>
      </c>
      <c r="D2">
        <f>Model!G134</f>
        <v>6068580.1171875</v>
      </c>
      <c r="E2">
        <f>Model!H134</f>
        <v>9650169.6289453115</v>
      </c>
      <c r="F2">
        <f>Model!I134</f>
        <v>14770441.807902776</v>
      </c>
      <c r="G2">
        <f>Model!J134</f>
        <v>22036057.761246424</v>
      </c>
    </row>
    <row r="3" spans="1:7" x14ac:dyDescent="0.2">
      <c r="A3" t="s">
        <v>121</v>
      </c>
      <c r="B3">
        <f>Model!E167</f>
        <v>-26578.125</v>
      </c>
      <c r="C3">
        <f>Model!F167</f>
        <v>-38476.65625</v>
      </c>
      <c r="D3">
        <f>Model!G167</f>
        <v>268958.54308974621</v>
      </c>
      <c r="E3">
        <f>Model!H167</f>
        <v>727475.34131829755</v>
      </c>
      <c r="F3">
        <f>Model!I167</f>
        <v>1420136.9977141765</v>
      </c>
      <c r="G3">
        <f>Model!J167</f>
        <v>2371143.3447649633</v>
      </c>
    </row>
    <row r="5" spans="1:7" x14ac:dyDescent="0.2">
      <c r="A5" s="137"/>
      <c r="B5" s="137">
        <v>2026</v>
      </c>
      <c r="C5" s="137">
        <v>2027</v>
      </c>
      <c r="D5" s="137">
        <v>2028</v>
      </c>
      <c r="E5" s="137">
        <v>2029</v>
      </c>
      <c r="F5" s="137">
        <v>2030</v>
      </c>
      <c r="G5" s="137">
        <v>2031</v>
      </c>
    </row>
    <row r="6" spans="1:7" x14ac:dyDescent="0.2">
      <c r="A6" t="s">
        <v>224</v>
      </c>
      <c r="B6">
        <f>Model!E144</f>
        <v>0.35149156939040205</v>
      </c>
      <c r="C6">
        <f>Model!F144</f>
        <v>0.35797665369649806</v>
      </c>
      <c r="D6">
        <f>Model!G144</f>
        <v>0.36439688715953311</v>
      </c>
      <c r="E6">
        <f>Model!H144</f>
        <v>0.37075291828793783</v>
      </c>
      <c r="F6">
        <f>Model!I144</f>
        <v>0.37704538910505847</v>
      </c>
      <c r="G6">
        <f>Model!J144</f>
        <v>0.38327493521400791</v>
      </c>
    </row>
    <row r="7" spans="1:7" x14ac:dyDescent="0.2">
      <c r="A7" t="s">
        <v>227</v>
      </c>
      <c r="B7">
        <f>Model!E160</f>
        <v>7.7070671340215028E-3</v>
      </c>
      <c r="C7">
        <f>Model!F160</f>
        <v>2.5700217019664861E-2</v>
      </c>
      <c r="D7">
        <f>Model!G160</f>
        <v>0.1260013737950704</v>
      </c>
      <c r="E7">
        <f>Model!H160</f>
        <v>0.18734559567207412</v>
      </c>
      <c r="F7">
        <f>Model!I160</f>
        <v>0.22943968273146309</v>
      </c>
      <c r="G7">
        <f>Model!J160</f>
        <v>0.26069117026808097</v>
      </c>
    </row>
    <row r="8" spans="1:7" x14ac:dyDescent="0.2">
      <c r="A8" t="s">
        <v>225</v>
      </c>
      <c r="B8">
        <f>Model!E153</f>
        <v>0.19842214147131021</v>
      </c>
      <c r="C8">
        <f>Model!F153</f>
        <v>0.22930244659671936</v>
      </c>
      <c r="D8">
        <f>Model!G153</f>
        <v>0.25131086937304203</v>
      </c>
      <c r="E8">
        <f>Model!H153</f>
        <v>0.26941546544364825</v>
      </c>
      <c r="F8">
        <f>Model!I153</f>
        <v>0.28530141654971897</v>
      </c>
      <c r="G8">
        <f>Model!J153</f>
        <v>0.29971232995526287</v>
      </c>
    </row>
    <row r="10" spans="1:7" x14ac:dyDescent="0.2">
      <c r="A10" s="137"/>
      <c r="B10" s="137">
        <v>2026</v>
      </c>
      <c r="C10" s="137">
        <v>2027</v>
      </c>
      <c r="D10" s="137">
        <v>2028</v>
      </c>
      <c r="E10" s="137">
        <v>2029</v>
      </c>
      <c r="F10" s="137">
        <v>2030</v>
      </c>
      <c r="G10" s="137">
        <v>2031</v>
      </c>
    </row>
    <row r="11" spans="1:7" x14ac:dyDescent="0.2">
      <c r="A11" t="s">
        <v>235</v>
      </c>
      <c r="B11">
        <f>Model!E255</f>
        <v>38.333333333333336</v>
      </c>
      <c r="C11">
        <f>Model!F255</f>
        <v>40.250000000000007</v>
      </c>
      <c r="D11">
        <f>Model!G255</f>
        <v>42.262500000000003</v>
      </c>
      <c r="E11">
        <f>Model!H255</f>
        <v>44.375625000000007</v>
      </c>
      <c r="F11">
        <f>Model!I255</f>
        <v>46.594406249999999</v>
      </c>
      <c r="G11">
        <f>Model!J255</f>
        <v>48.924126562500007</v>
      </c>
    </row>
    <row r="12" spans="1:7" x14ac:dyDescent="0.2">
      <c r="A12" t="s">
        <v>236</v>
      </c>
      <c r="B12">
        <f>Model!E134/Model!E41</f>
        <v>250</v>
      </c>
      <c r="C12">
        <f>Model!F134/Model!F41</f>
        <v>275</v>
      </c>
      <c r="D12">
        <f>Model!G134/Model!G41</f>
        <v>302.5</v>
      </c>
      <c r="E12">
        <f>Model!H134/Model!H41</f>
        <v>332.75</v>
      </c>
      <c r="F12">
        <f>Model!I134/Model!I41</f>
        <v>366.02500000000003</v>
      </c>
      <c r="G12">
        <f>Model!J134/Model!J41</f>
        <v>402.62750000000005</v>
      </c>
    </row>
    <row r="13" spans="1:7" x14ac:dyDescent="0.2">
      <c r="A13" t="s">
        <v>233</v>
      </c>
      <c r="B13">
        <f>Model!E256</f>
        <v>47.75</v>
      </c>
      <c r="C13">
        <f>Model!F256</f>
        <v>55.56</v>
      </c>
      <c r="D13">
        <f>Model!G256</f>
        <v>64.300575000000009</v>
      </c>
      <c r="E13">
        <f>Model!H256</f>
        <v>74.076217875000026</v>
      </c>
      <c r="F13">
        <f>Model!I256</f>
        <v>85.002850999875051</v>
      </c>
      <c r="G13">
        <f>Model!J256</f>
        <v>97.209055687543938</v>
      </c>
    </row>
    <row r="15" spans="1:7" x14ac:dyDescent="0.2">
      <c r="A15" s="137"/>
      <c r="B15" s="137">
        <v>2026</v>
      </c>
      <c r="C15" s="137">
        <v>2027</v>
      </c>
      <c r="D15" s="137">
        <v>2028</v>
      </c>
      <c r="E15" s="137">
        <v>2029</v>
      </c>
      <c r="F15" s="137">
        <v>2030</v>
      </c>
      <c r="G15" s="137">
        <v>2031</v>
      </c>
    </row>
    <row r="16" spans="1:7" x14ac:dyDescent="0.2">
      <c r="A16" t="s">
        <v>209</v>
      </c>
      <c r="B16">
        <f>Model!E258</f>
        <v>-412547.94520547945</v>
      </c>
      <c r="C16">
        <f>Model!F258</f>
        <v>-446370.34235873283</v>
      </c>
      <c r="D16">
        <f>Model!G258</f>
        <v>-297747.09373590659</v>
      </c>
      <c r="E16">
        <f>Model!H258</f>
        <v>-40976.20377243415</v>
      </c>
      <c r="F16">
        <f>Model!I258</f>
        <v>393955.59403268085</v>
      </c>
      <c r="G16">
        <f>Model!J258</f>
        <v>1121357.6289967657</v>
      </c>
    </row>
    <row r="17" spans="1:7" x14ac:dyDescent="0.2">
      <c r="A17" t="s">
        <v>208</v>
      </c>
      <c r="B17">
        <f>Model!E222</f>
        <v>87452.054794520547</v>
      </c>
      <c r="C17">
        <f>Model!F222</f>
        <v>-358918.28756421228</v>
      </c>
      <c r="D17">
        <f>Model!G222</f>
        <v>-656665.38130011887</v>
      </c>
      <c r="E17">
        <f>Model!H222</f>
        <v>-697641.58507255302</v>
      </c>
      <c r="F17">
        <f>Model!I222</f>
        <v>-303685.99103987217</v>
      </c>
      <c r="G17">
        <f>Model!J222</f>
        <v>817671.63795689354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Model</vt:lpstr>
      <vt:lpstr>Financial Statements</vt:lpstr>
      <vt:lpstr>Dashboard</vt:lpstr>
      <vt:lpstr>Chart Data</vt:lpstr>
    </vt:vector>
  </TitlesOfParts>
  <Company>Onlineshoes.com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Aduragbemi Fayode</cp:lastModifiedBy>
  <cp:lastPrinted>2016-06-09T21:00:03Z</cp:lastPrinted>
  <dcterms:created xsi:type="dcterms:W3CDTF">2016-03-28T18:22:40Z</dcterms:created>
  <dcterms:modified xsi:type="dcterms:W3CDTF">2026-03-01T04:46:37Z</dcterms:modified>
</cp:coreProperties>
</file>